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4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2024 CUSTEIO APS (JAN-ABR)" sheetId="1" r:id="rId4"/>
    <sheet state="hidden" name="INVESTIMENTO" sheetId="2" r:id="rId5"/>
    <sheet state="hidden" name="2024 CUSTEIO APS (MAI-DEZ)" sheetId="3" r:id="rId6"/>
    <sheet state="hidden" name="2024-CUSTEIO DEMAIS GRUPOS" sheetId="4" r:id="rId7"/>
    <sheet state="visible" name="ESTADO" sheetId="5" r:id="rId8"/>
    <sheet state="visible" name="2025 CUSTEIO APS" sheetId="6" r:id="rId9"/>
    <sheet state="visible" name="2025 CUSTEIO DEMAIS GRUPOS" sheetId="7" r:id="rId10"/>
    <sheet state="visible" name="Página3" sheetId="8" r:id="rId11"/>
  </sheets>
  <definedNames>
    <definedName hidden="1" localSheetId="4" name="_xlnm._FilterDatabase">ESTADO!$A$1:$F$190</definedName>
  </definedNames>
  <calcPr/>
  <extLst>
    <ext uri="GoogleSheetsCustomDataVersion2">
      <go:sheetsCustomData xmlns:go="http://customooxmlschemas.google.com/" r:id="rId12" roundtripDataChecksum="1WG7Q8FZ97+0TbgpE0de2JL4peBRMV/hzus2TOObGo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9">
      <text>
        <t xml:space="preserve">======
ID#AAABRMekThc
sus36    (2024-09-11 17:10:35)
R$ 345.296,52 +
R$ 983.217,00 (Parcela Única)</t>
      </text>
    </comment>
  </commentList>
  <extLst>
    <ext uri="GoogleSheetsCustomDataVersion2">
      <go:sheetsCustomData xmlns:go="http://customooxmlschemas.google.com/" r:id="rId1" roundtripDataSignature="AMtx7mgj2jFbhKWGK1972OXV+umXcPw4UA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14">
      <text>
        <t xml:space="preserve">13º salário dos ACS
======</t>
      </text>
    </comment>
    <comment authorId="0" ref="D18">
      <text>
        <t xml:space="preserve">======
ID#AAABc4_bcZQ
Gerência Planejamento    (2025-01-30 13:44:27)
Recurso pago em 23/01/2025</t>
      </text>
    </comment>
    <comment authorId="0" ref="E18">
      <text>
        <t xml:space="preserve">======
ID#AAABc4_bcZM
Gerência Planejamento    (2025-01-30 13:42:52)
rECURSO PAGO EM 23/01/2025</t>
      </text>
    </comment>
    <comment authorId="0" ref="F18">
      <text>
        <t xml:space="preserve">======
ID#AAABc4_bcZE
Gerência Planejamento    (2025-01-30 13:34:04)
Depositado em 23/01/2025</t>
      </text>
    </comment>
    <comment authorId="0" ref="U18">
      <text>
        <t xml:space="preserve">======
ID#AAABa4f-trI
Gerência Planejamento    (2024-12-23 18:37:04)
COMP./PARC. 10/12 E 12/12</t>
      </text>
    </comment>
    <comment authorId="0" ref="Q18">
      <text>
        <t xml:space="preserve">======
ID#AAABa4f-tqA
Gerência Planejamento    (2024-12-23 17:50:54)
ÚNICA EM 2024 PORT. 5608  = R$86.140
COMP./PARC. 10/12 = R$ 18.600
COMP./PARC. 12/12 = R$ 99.600
COMP./PARC. 12/12 = R$ 1.500,00</t>
      </text>
    </comment>
    <comment authorId="0" ref="U2">
      <text>
        <t xml:space="preserve">======
ID#AAABRMekTh0
sus36    (2024-09-11 17:10:35)
DECRETO Nº 8.474, DE 22 DE JUNHO DE 2015</t>
      </text>
    </comment>
    <comment authorId="0" ref="U3">
      <text>
        <t xml:space="preserve">======
ID#AAABRMekThg
sus36    (2024-09-11 17:10:35)
Portaria Nº 622, 18 de maio  de 2023</t>
      </text>
    </comment>
    <comment authorId="0" ref="AB4">
      <text>
        <t xml:space="preserve">======
ID#AAABRMekThQ
sus36    (2024-09-11 17:10:35)
R$ 300.000,00 Portaria Nº 3608 + R$ 350.000,00 Portaria Nº 3615 + R$ 2.000.000,00 Portaria Nº 3853</t>
      </text>
    </comment>
  </commentList>
  <extLst>
    <ext uri="GoogleSheetsCustomDataVersion2">
      <go:sheetsCustomData xmlns:go="http://customooxmlschemas.google.com/" r:id="rId1" roundtripDataSignature="AMtx7mglAQ2jJazTPG1bMmf6LN8EVYuOF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5">
      <text>
        <t xml:space="preserve">PORTARIA N.º 5793 - valores referentes à décima terceira parcela do exercício de 2024 =  R$  1.282.769,75  +
1.276.750,06
======</t>
      </text>
    </comment>
    <comment authorId="0" ref="I15">
      <text>
        <t xml:space="preserve">======
ID#AAABc4_bcZI
Gerência Planejamento    (2025-01-30 13:36:24)
Recurso pago em 21/01/2025</t>
      </text>
    </comment>
    <comment authorId="0" ref="G15">
      <text>
        <t xml:space="preserve">======
ID#AAABc4_bcY4
Gerência Planejamento    (2025-01-30 13:08:01)
Recurso de 2024 mas depositado em janeiro de 2025</t>
      </text>
    </comment>
    <comment authorId="0" ref="J15">
      <text>
        <t xml:space="preserve">======
ID#AAABb78CMxo
Gerência Planejamento    (2025-01-21 13:50:18)
Depositado em 13/01/2025</t>
      </text>
    </comment>
    <comment authorId="0" ref="P15">
      <text>
        <t xml:space="preserve">======
ID#AAABYgqTK-w
Gerência Planejamento    (2025-01-09 13:42:49)
N. 5534 (testes de gravidez) = 18.723,54	
N. 5530 (exames pré-natal) = 63.947,05</t>
      </text>
    </comment>
    <comment authorId="0" ref="R15">
      <text>
        <t xml:space="preserve">======
ID#AAABa4f-tq8
Gerência Planejamento    (2024-12-23 18:28:34)
COMP/PARCELA 12/12 PORT. 6252 = R$ 14.897,42</t>
      </text>
    </comment>
    <comment authorId="0" ref="B9">
      <text>
        <t xml:space="preserve">======
ID#AAABRMekThw
sus36    (2024-09-11 17:10:35)
Portaria 3591; 3626; 4415</t>
      </text>
    </comment>
    <comment authorId="0" ref="B10">
      <text>
        <t xml:space="preserve">======
ID#AAABRMekThs
sus36    (2024-09-11 17:10:35)
Portarias 4588; 3626</t>
      </text>
    </comment>
    <comment authorId="0" ref="E10">
      <text>
        <t xml:space="preserve">======
ID#AAABRMekTho
sus36    (2024-09-11 17:10:35)
Parcela 07/12 + parcela única (R$434.400,00)</t>
      </text>
    </comment>
    <comment authorId="0" ref="B8">
      <text>
        <t xml:space="preserve">======
ID#AAABRMekThk
sus36    (2024-09-11 17:10:35)
Portarias 3626 ; 3591 ; 3864</t>
      </text>
    </comment>
    <comment authorId="0" ref="R6">
      <text>
        <t xml:space="preserve">======
ID#AAABRMekThU
sus36    (2024-09-11 17:10:35)
244.458,17	+ 233.261,77 (Multivacinação)</t>
      </text>
    </comment>
    <comment authorId="0" ref="R8">
      <text>
        <t xml:space="preserve">======
ID#AAABRMekThY
sus36    (2024-09-11 17:10:35)
244.458,17 + 60.000,00 (Hanseníase)</t>
      </text>
    </comment>
  </commentList>
  <extLst>
    <ext uri="GoogleSheetsCustomDataVersion2">
      <go:sheetsCustomData xmlns:go="http://customooxmlschemas.google.com/" r:id="rId1" roundtripDataSignature="AMtx7mgybcbEwtu7gXnorypTHwW0i5NMK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3">
      <text>
        <t xml:space="preserve">13º salário dos ACS
======</t>
      </text>
    </comment>
    <comment authorId="0" ref="G8">
      <text>
        <t xml:space="preserve">======
ID#AAABicwW59c
Gerência Planejamento    (2025-04-24 13:39:11)
DESCONTO DE R$ 247.730,00</t>
      </text>
    </comment>
    <comment authorId="0" ref="G6">
      <text>
        <t xml:space="preserve">======
ID#AAABicwW59Y
Gerência Planejamento    (2025-04-24 13:38:10)
DESCONTO DE R$ 235.343,50</t>
      </text>
    </comment>
    <comment authorId="0" ref="R7">
      <text>
        <t xml:space="preserve">======
ID#AAABiXSyZA8
Gerência Planejamento    (2025-04-22 17:43:04)
27.156 + 81.000</t>
      </text>
    </comment>
    <comment authorId="0" ref="G4">
      <text>
        <t xml:space="preserve">======
ID#AAABcOKGSRk
Gerência Planejamento    (2025-02-13 18:58:38)
Componente fixo: R$ 1.526.000,00 e Qualidade: R$ 654.000,00 e Vínculo e Acompanhamento territorial R$ 654.000,00
------
ID#AAABicwW59U
Gerência Planejamento    (2025-04-24 13:36:34)
DESCONTO DE R$ 198.184,00</t>
      </text>
    </comment>
  </commentList>
  <extLst>
    <ext uri="GoogleSheetsCustomDataVersion2">
      <go:sheetsCustomData xmlns:go="http://customooxmlschemas.google.com/" r:id="rId1" roundtripDataSignature="AMtx7mjaMWSNSvFpth2FCuUr3Yb6fBPT3Q=="/>
    </ext>
  </extL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X15">
      <text>
        <t xml:space="preserve">PORTARIA N.º 5793 - valores referentes à décima terceira parcela do exercício de 2024 =  R$  1.282.769,75  +
1.276.750,06
======</t>
      </text>
    </comment>
    <comment authorId="0" ref="B5">
      <text>
        <t xml:space="preserve">======
ID#AAABetp-E8g
Gerência Planejamento    (2025-02-26 13:00:54)
R$ 289.000,00 PARA FURGÃO AMBULÂNCIA SAMU - PROPOSTA DE CLARISSA TÉRCIO
R$ 689.030,00 PARA AMBULÂNCIA RITA BARRADAS E UPA SOTAVE - PROPOSTA DE CLARISSA TÉRCIO</t>
      </text>
    </comment>
    <comment authorId="0" ref="T5">
      <text>
        <t xml:space="preserve">======
ID#AAABetp-E8Y
Gerência Planejamento    (2025-02-26 12:50:51)
42.959,40 + 816.228,60</t>
      </text>
    </comment>
    <comment authorId="0" ref="V5">
      <text>
        <t xml:space="preserve">======
ID#AAABetp-E8U
Gerência Planejamento    (2025-02-26 12:48:56)
07/02: 45.455,13
10/02: 47.715,81</t>
      </text>
    </comment>
    <comment authorId="0" ref="P3">
      <text>
        <t xml:space="preserve">======
ID#AAABetp-E8M
Gerência Planejamento    (2025-02-26 12:28:17)
INSTITUTO ALCIDES DE ANDRADE LIMA
CNES 5356067 1.916.996,87
CNES 2319454 980.529,93
PERRONE 45.441,70
RICARDO SELVA 349.154,25
CENTRO DE APOIO E INTEGRAÇÃO DE PORTADORES DE NECESSIDADES 13.932,50
ALTINO VENTURA 158.017,13</t>
      </text>
    </comment>
  </commentList>
  <extLst>
    <ext uri="GoogleSheetsCustomDataVersion2">
      <go:sheetsCustomData xmlns:go="http://customooxmlschemas.google.com/" r:id="rId1" roundtripDataSignature="AMtx7mjIgrUR0XN1z4fT9eTHQDWrBeQp4g=="/>
    </ext>
  </extLst>
</comments>
</file>

<file path=xl/sharedStrings.xml><?xml version="1.0" encoding="utf-8"?>
<sst xmlns="http://schemas.openxmlformats.org/spreadsheetml/2006/main" count="803" uniqueCount="244">
  <si>
    <t>FINANCIAMENTO DA ATENÇÃO BÁSICA CUSTEIO (JANEIRO 2024 - ABRIL 2024)</t>
  </si>
  <si>
    <t>Capitação Ponderada</t>
  </si>
  <si>
    <t xml:space="preserve">Incentivo Financeiro com base em critério populacional (Port. Nº 3732/2024)
</t>
  </si>
  <si>
    <t>Desempenho ISF</t>
  </si>
  <si>
    <t>SAÚDE BUCAL</t>
  </si>
  <si>
    <t>AÇÕES ESTRATÉGICAS - PORT. N 622/2023 VALOR aNUAL : R$ 3.633.430,49 - VALOR MENSAL:  R$ 302.785,87</t>
  </si>
  <si>
    <t xml:space="preserve">Assistência Financeira Complementar 
ACS 95% (12 parcelas  +1 adicional) e Incentivo Financeiro para Fortalecimento de Políticas 5%  </t>
  </si>
  <si>
    <t>Informatização</t>
  </si>
  <si>
    <t>Academia da Saúde</t>
  </si>
  <si>
    <t>PROMOÇÃO DA ASSISTÊNCIA FARMACÊUTICA E INSUMOS ESTRATÉGICOS NA AB EM SAÚDE</t>
  </si>
  <si>
    <t>TOTAL</t>
  </si>
  <si>
    <t xml:space="preserve">Portaria Nº 622/2023- Valor anual:
R$ 25.537.289,51 
Valor Mensal:
R$ 2.128.107,45
</t>
  </si>
  <si>
    <t>Valor anual: 
R$ 4.232.413,50
Valor mensal: 
R$ 352.701,13</t>
  </si>
  <si>
    <t xml:space="preserve">Portaria Nº 622/2023 - Valor anual: 
R$ 2.633.741,04
Valor mensal:
R$ 219.478,42
</t>
  </si>
  <si>
    <t>88 equipes total
xx credenciadas
87*4.024=</t>
  </si>
  <si>
    <t>R$ 33.750/mês</t>
  </si>
  <si>
    <t>139.337,77/mês</t>
  </si>
  <si>
    <t>Unidades de 41 a 90 adolescentes
R$ 8.556,00/mês</t>
  </si>
  <si>
    <t>R$ 83.546,40/PARCELA ÚNICA</t>
  </si>
  <si>
    <t xml:space="preserve">PORTARIA GM/MS Nº 3.172, DE 15 DE FEVEREIRO DE 2024 Enf = 9 (homologado 8); Odonto = 2 (homologado 2); Med = 10 (Homologado 17) - Novas Vagas: 13.500,00
R$ 94.500,00/mês - </t>
  </si>
  <si>
    <t xml:space="preserve">R$ 1.550,00 por PACS 
Temos 12
18.600,00/mês </t>
  </si>
  <si>
    <t>PORTARIA GM/MS Nº 1.105, DE 15 DE MAIO DE 2022</t>
  </si>
  <si>
    <t>8 equipes
24.000,00
24.000*8 = 192.000,00/mês</t>
  </si>
  <si>
    <t>Portaria Nº 622/2023 - Valor anual: 
R$ 3.633.430,49
Valor mensal: 
R$ 302.785,87</t>
  </si>
  <si>
    <t>(2824x820 ACS) = 2.315.680,00</t>
  </si>
  <si>
    <t>1700 por equipe
xx credenciadas
Valor mensal: 110.783,33</t>
  </si>
  <si>
    <t>R$ 6.000,00/mês</t>
  </si>
  <si>
    <t xml:space="preserve"> 
PORTARIA GM/MS Nº 190, DE 24 DE FEVEREIRO DE 2023 - Valor Mensal: 
R$ 345.296,52  PORTARIA GM/MS Nº 3.385, DE 19 DE MARÇO DE 2024 (Incremento Excepcional) =Parcela Única:  R$ 983.217,00 </t>
  </si>
  <si>
    <t>Parcela</t>
  </si>
  <si>
    <t>Consulta</t>
  </si>
  <si>
    <t>Valor total mensal: R$ 2.480.808,58</t>
  </si>
  <si>
    <t>Eq. Saúde Bucal</t>
  </si>
  <si>
    <t>QUALIDADE/(DESEMPENHO)</t>
  </si>
  <si>
    <t>LRPD</t>
  </si>
  <si>
    <t>CEO</t>
  </si>
  <si>
    <t>TOTAL BUCAL</t>
  </si>
  <si>
    <t>Saúde de Adolescente em atendimento socioeducativo</t>
  </si>
  <si>
    <t>PSE/CRESCER SAUDÁVEL/SB</t>
  </si>
  <si>
    <t>Residência Profissional</t>
  </si>
  <si>
    <t>EACS  (Vínculo Indireto)</t>
  </si>
  <si>
    <t>Incentivo de Atividade
 Física</t>
  </si>
  <si>
    <t>e-Multi</t>
  </si>
  <si>
    <t>Total</t>
  </si>
  <si>
    <t>FNS</t>
  </si>
  <si>
    <t>E-GESTOR</t>
  </si>
  <si>
    <t>ATENÇÃO PRIMÁRIA</t>
  </si>
  <si>
    <t>ATENÇÃO ESPECIALIZADA</t>
  </si>
  <si>
    <t>ESTRUTURAÇÃO DA REDE DE SERVIÇOS DE ATENÇÃO PRIMÁRIA DE SAÚDE</t>
  </si>
  <si>
    <t>ESTRUTURAÇÃO DE UNIDADES DE ATENÇÃO ESPECIALIZADA EM SAÚDE</t>
  </si>
  <si>
    <t>Portaria Nº 2396 - Informatização dos CEOS</t>
  </si>
  <si>
    <t>Portaria Nº 2418 - Raio X Panorâmico</t>
  </si>
  <si>
    <t>Portaria Nº 3890 - PCD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</si>
  <si>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</si>
  <si>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</si>
  <si>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</si>
  <si>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</si>
  <si>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</si>
  <si>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</si>
  <si>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</si>
  <si>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</si>
  <si>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</si>
  <si>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</si>
  <si>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</si>
  <si>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</si>
  <si>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Atualizado em 21/01/2025</t>
  </si>
  <si>
    <t>Portaria Nº 6151</t>
  </si>
  <si>
    <t>Portaria Nº 5957</t>
  </si>
  <si>
    <t>INCENTIVO FINANCEIRO DA APS - EQUIPES DE SAÚDE DA FAMÍLIA/ESF E EQUIPES DE ATENÇÃO PRIMÁRIA/EAP</t>
  </si>
  <si>
    <t>INCENTIVO FINANCEIRO PARA ATENÇÃO À SAÚDE BUCAL</t>
  </si>
  <si>
    <t>INCENTIVO FINANCEIRO DA APS - MANUTENÇÃO DE PAGAMENTO DE VALOR NOMINAL COM BASE EM EXERCÍCIO ANTERIOR</t>
  </si>
  <si>
    <t>INCENTIVO FINANCEIRO DA APS - DEMAIS PROGRAMAS, SERVIÇOS E EQUIPES DA ATENÇÃO PRIMÁRIA À SAÚDE</t>
  </si>
  <si>
    <t xml:space="preserve">E-multi  </t>
  </si>
  <si>
    <t xml:space="preserve">POLÍTICA NACIONAL DE ALIMENTAÇÃO E NUTRIÇÃO - PNAN </t>
  </si>
  <si>
    <t>IMPLEM. DE POLIT. DE PROMOCAO A SAUDE E ATENC A DOENC CRON NAO TRANSMISSIVEIS (DCNT) - Portaria Nº 2105</t>
  </si>
  <si>
    <t>IMPLEMENTACAO DE POLITICAS PARA A REDE CEGONHA -  Port. nº 986</t>
  </si>
  <si>
    <t>PISO DA ATENÇÃO PRIMÁRIA EM SAÚDE</t>
  </si>
  <si>
    <t>INCREMENTO TEMPORÁRIO AO CUSTEIO DOS SERVIÇOS DE ATENÇÃO PRIMÁRIA EM SAÚDE PARA CUMPRIMENTO DAS METAS - NACIONAL</t>
  </si>
  <si>
    <t>NOVO FINANCIAMENTO APS - Portaria Nº 3.493/2024 - Componente Fixo: R$ 1.533.000,00 + Qualidade R$ 657.000,00 + Vínculo e Acompanhamento Territorial R$ 657.000,00 TOTAL MENSAL: R$ 2.847.000</t>
  </si>
  <si>
    <t>NOVO FINANCIAMENTO APS - Portaria Nº 3.493/2024 - Qualidade média do alcance dos resultados do ano Saúde Bucal - Parcela Única</t>
  </si>
  <si>
    <t>NOVO FINANCIAMENTO APS - Portaria Nº 3.493/2024 - Qualidade média do alcance dos resultados do ano E-MULTI - Parcela Única</t>
  </si>
  <si>
    <t>NOVO FINANCIAMENTO APS - Portaria Nº 3.493/2024 - Qualidade média do alcance dos resultados do ano - Parcela Única</t>
  </si>
  <si>
    <t>NOVO FINANCIAMENTO APS - Portaria Nº 3.493/2024 -  85 EQUIPES 40H CREDENCIADAS (4.041,00 por equipe - 81 COM PORTARIA DE HOMOLOGAÇÃO)</t>
  </si>
  <si>
    <t>COMPONENTE QUALIDADE</t>
  </si>
  <si>
    <t>Total SB</t>
  </si>
  <si>
    <t xml:space="preserve">NOVO FINANCIAMENTO APS  - Portaria Nº 3.493/2024 - Valor refere-se ao Incentivo Financeiro com base em critério populacional (Port. Nº 74/2023)
</t>
  </si>
  <si>
    <t>NOVO FINANCIAMENTO APS   Portaria Nº 3.493/2024 - ACS Indireto - 12 Profissionais Credenciados</t>
  </si>
  <si>
    <t>NOVO FINANCIAMENTO APS   Portaria Nº 3.493/2024 - Residência</t>
  </si>
  <si>
    <t>NOVO FINANCIAMENTO APS   Portaria Nº 3.493/2024 - Incentivo Atividade Física</t>
  </si>
  <si>
    <t>NOVO FINANCIAMENTO APS   Portaria Nº 3.493/2024 - Saúde de Adolescentes em atendimento socioeducativo</t>
  </si>
  <si>
    <t>TOTAL DEMAIS PROGRAMAS</t>
  </si>
  <si>
    <t>CUSTEIO - E-multi - 8 equipes
24.000,00
24.000*8 = 192.000,00/mês</t>
  </si>
  <si>
    <t>COMPONENTE DE QUALIDADE</t>
  </si>
  <si>
    <t>Total E-multi</t>
  </si>
  <si>
    <r>
      <rPr>
        <rFont val="Arial"/>
        <color theme="1"/>
        <sz val="12.0"/>
      </rPr>
      <t xml:space="preserve"> 
PORTARIA GM/MS Nº 190, DE 24 DE FEVEREIRO DE 2023 - Valor Mensal: 
R$ 345.296,52  PORTARIA GM/MS Nº 3.385, DE 19 DE MARÇO DE 2024 (Incremento Excepcional) =Parcela Única:  R$ 983.217,00 </t>
    </r>
    <r>
      <rPr>
        <rFont val="Arial"/>
        <b/>
        <color theme="1"/>
        <sz val="12.0"/>
      </rPr>
      <t>PORTARIA Nº 5.634/2024 Mensal: 391.789,18; Anual: 4.701.470,16</t>
    </r>
  </si>
  <si>
    <t>Parcela Única - PORTARIA Nº• 5.836/2024 R$ 81.690,74</t>
  </si>
  <si>
    <t>Parcela Única R$ 44.727,27</t>
  </si>
  <si>
    <t>PORTARIA Nº 5.534/2024 - Teste Rápido de Gravidez - R$ 18.723,54</t>
  </si>
  <si>
    <t>PORTARIA GM/MS Nº 4.744, DE 3 DE JULHO DE 2024 - Saúde Bucal no PSE</t>
  </si>
  <si>
    <t>Portarias Nº 3608, 3615, 3853</t>
  </si>
  <si>
    <t>Mai</t>
  </si>
  <si>
    <t>R$ 192.000,00</t>
  </si>
  <si>
    <t>Jun</t>
  </si>
  <si>
    <t>Jul</t>
  </si>
  <si>
    <t>Ago</t>
  </si>
  <si>
    <t>Set</t>
  </si>
  <si>
    <t>Out</t>
  </si>
  <si>
    <t>Nov</t>
  </si>
  <si>
    <t xml:space="preserve">R$ 270.945,00 
</t>
  </si>
  <si>
    <t>R$ 123.980,63</t>
  </si>
  <si>
    <t>R$ 139.337,77</t>
  </si>
  <si>
    <t>R$ 33.750,00</t>
  </si>
  <si>
    <t>Dez</t>
  </si>
  <si>
    <t xml:space="preserve"> R$  4.473.216,00 </t>
  </si>
  <si>
    <t>Atualizado em 26/02/2025</t>
  </si>
  <si>
    <t>confirmar se realmente se refere ao pagamento anual da parcela do componente de qualidade que deve ser repassada aos profissionais</t>
  </si>
  <si>
    <t>ESPECIALIZADA</t>
  </si>
  <si>
    <t>VIGILÂNCIA</t>
  </si>
  <si>
    <t>GESTÃO DO SUS</t>
  </si>
  <si>
    <t>INCREMENTO TEMPORÁRIO AO CUSTEIO DOS SERVIÇOS DE ASSISTÊNCIA HOSPITALAR E AMBULATORIAL PARA CUMPRIMENTO DAS METAS - NACIONAL</t>
  </si>
  <si>
    <t>FAEC - MAIS ACESSO A ESPECIALISTAS</t>
  </si>
  <si>
    <t>FAEC- CIRG. ELETIVAS</t>
  </si>
  <si>
    <t>FAEC- ANGIOLOGIA</t>
  </si>
  <si>
    <t>FAEC - PRÉ-CIRÚRGICO EM CIRURGIAS PRIORITÁRIAS</t>
  </si>
  <si>
    <t>FAEC - DIAGNÓSTICO DE TROMBOFILIA EM GESTANTE</t>
  </si>
  <si>
    <t>SAMU</t>
  </si>
  <si>
    <t>ALYNE</t>
  </si>
  <si>
    <t>PQAVS</t>
  </si>
  <si>
    <t>VS- INCENTIVO PARA DESPESAS DIVERSAS</t>
  </si>
  <si>
    <t>VS- AGENTES DE COMBATE À ENDEMIAS</t>
  </si>
  <si>
    <t>VS -  EXECUÇÃO DE AÇÕES DE VIGILÂNCIA SANITÁRIA</t>
  </si>
  <si>
    <t>INCENTIVO FINANCEIRO ÀS AÇÕES DE VIGILÂNCIA E PREVENÇÃO E CONTROLE DAS DST/AIDS E HEPATITES VIRAIS</t>
  </si>
  <si>
    <t>TRANSFORMAÇÃO DIGITAL DO SUS</t>
  </si>
  <si>
    <t xml:space="preserve">ASSISTÊNCIA FINANCEIRA COMPLEMENTAR AOS ESTADOS, AO DISTRITO FEDERAL E AOS MUNICÍPIOS PARA O PAGAMENTO DO PISO SALARIAL DOS PROFISSIONAIS DA ENFERMAGEM </t>
  </si>
  <si>
    <t>TETO</t>
  </si>
  <si>
    <t>Parcelas Únicas - Emendas Parlamentares</t>
  </si>
  <si>
    <t>EBPE - DOTAÇÕES CLASSIFICADAS COM RP 2 - PT/GM 544 Portaria Nº 2860 (Parcela Única)</t>
  </si>
  <si>
    <t>PORTARIA GM/MS Nº 3.053, DE 8 DE JANEIRO DE 2024 - Valor Anual: R$ 107.684.645,20 - Mensal: R$ 8.973.720,43</t>
  </si>
  <si>
    <t>SAD - PORTARIA GM/MS Nº 3.949, DE 18 DE junho DE 2024 - Valor Mensal: R$ 15.600,00      - Valor Anual: R$ 5.647.200,00 - - Parcela Única: 434.400,00</t>
  </si>
  <si>
    <t>CEREST - PORTARIA Nº 4922/2024 - Valor Mensal: R$ 30.000,00</t>
  </si>
  <si>
    <t>Portaria Nº 6.271
 Parcela Única</t>
  </si>
  <si>
    <t>Portaria Nº 6265</t>
  </si>
  <si>
    <t>Portaria Nº 6.271</t>
  </si>
  <si>
    <t>Portaria Nº 6.494 (Única)</t>
  </si>
  <si>
    <t>Por produção</t>
  </si>
  <si>
    <t xml:space="preserve">PORTARIA GM/MS Nº 3.053, DE 8 DE JANEIRO DE 2024 - Valor Anual: 1.733.550,00 - Mensal:
R$ 144.462,50 </t>
  </si>
  <si>
    <t>IMPLEMENTACÃO DE POLÍTICAS PARA A REDE ALYNE - PORTARIAS Nº 5534 E 5530 PARCELA ÚNICA</t>
  </si>
  <si>
    <t>Parcela única</t>
  </si>
  <si>
    <t xml:space="preserve">PORTARIA GM/MS Nº 3.069, DE 18 DE JANEIRO DE 2024 - Valor Mensal: 244.458,17 + + PORTARIA GM/MS Nº 3.558, DE 16 DE ABRIL DE 2024 - Parcela Única: R$ 60.000,00 + Portaria Nº 6252/24 - Valor Fixo = ANUAL 3.112.267,17; MENSAL:  R$  259.355,60 </t>
  </si>
  <si>
    <t>Portaria Nº 844/2023 (Ações de Multivacinação - Temporário) Valor P1: 203.184,97 - Valor P2: R$ 135.456,64</t>
  </si>
  <si>
    <t xml:space="preserve">
PORTARIA GM/MS Nº 3.061, DE 17 DE JANEIRO DE 2024 - Valor Mensal: R$ 736.932,00
283*2824 = 799.192,00
</t>
  </si>
  <si>
    <t>Portaria Nº 3.494/2024 Valor Mensal (R$): 35.567,00</t>
  </si>
  <si>
    <r>
      <rPr>
        <rFont val="Arial"/>
        <b val="0"/>
        <color theme="1"/>
        <sz val="12.0"/>
      </rPr>
      <t xml:space="preserve">Valor Mensal: 
R$ 47.715,81 </t>
    </r>
    <r>
      <rPr>
        <rFont val="Arial"/>
        <b/>
        <color theme="1"/>
        <sz val="12.0"/>
      </rPr>
      <t>- PORTARIA Nº 5.635/out/2024: Mensal: R$ 45.455,13; Anual: 545.461,60</t>
    </r>
  </si>
  <si>
    <t>Atualizado em 36/02/2025</t>
  </si>
  <si>
    <t>ANO</t>
  </si>
  <si>
    <t>NÍVEL DE ATENÇÃO</t>
  </si>
  <si>
    <t>OBSERVAÇÃO DE EMPENHO</t>
  </si>
  <si>
    <t>RECURSO (R$)</t>
  </si>
  <si>
    <t xml:space="preserve">COMPETÊNCIA </t>
  </si>
  <si>
    <t>DATA DE PAGAMENTO</t>
  </si>
  <si>
    <t>APS</t>
  </si>
  <si>
    <t>FORTALECIMENTO E QUALIFICAÇÃO DA ATENÇÃO PRIMÁRIA (PEFAP)</t>
  </si>
  <si>
    <t> DEZEMBRO/2022 </t>
  </si>
  <si>
    <t>ATUALIZADO EM 04/04/2025</t>
  </si>
  <si>
    <t>MAC</t>
  </si>
  <si>
    <t>INCENTIVO FINANCEIRO ESTADUAL PARA LEITOS DE RETAGUARDA EM CIRURGIA VASCULAR DESTINADO AO INSTITUTO RICARDO SELVA</t>
  </si>
  <si>
    <t>INCENTIVO FINANCEIRO ESTADUAL PARA LEITOS DE RETAGUARDA EM CIRURGIA VASCULAR DESTINADO AO INSTITUTO RICARDO SELVA </t>
  </si>
  <si>
    <t>ABRIL/2023 </t>
  </si>
  <si>
    <t> JUNHO/2023</t>
  </si>
  <si>
    <t>AGOSTO/2023 </t>
  </si>
  <si>
    <t>INCENTIVO ESTADUAL PARA LEITOS DE RETAGUARDA EM CIRURGIA VASCULAR DESTINADO AO INSTITUTO RICARDO SELVA</t>
  </si>
  <si>
    <t> DEZEMBRO/2023</t>
  </si>
  <si>
    <t>PROCEDIMENTO DE ALTA COMPLEXIDADE EM TRAUMATO ORTOPEDIA AO HMJ</t>
  </si>
  <si>
    <t>ASSISTÊNCIA DE ALTA COMPLEXIDADE EM TRAUMATO ORTOPEDIA AO HMJ</t>
  </si>
  <si>
    <t>SETEMBRO/2023 </t>
  </si>
  <si>
    <t>INCENTIVO ESTADUAL PARA LEITOS DE RETAGUARDA DE CUIDADOS PROLONGADOS EM NEUROLOGIA (ENFERMARIA)</t>
  </si>
  <si>
    <t>INCENTIVO ESTADUAL PARA LEITOS DE RETAGUARDA DE CUIDADOS PROLONGADOS EM NEUROLOGIA (ENFERMARIA) </t>
  </si>
  <si>
    <t> OUTUBRO/2023</t>
  </si>
  <si>
    <t>CONTRAPARTIDA ESTADUAL DO COMPONENTE BÁSICO DA ASSISTÊNCIA FARMACÊUTICA</t>
  </si>
  <si>
    <t>CUSTEIO E MANUTENÇÃO DO SERVIÇO DE - SAMU 192</t>
  </si>
  <si>
    <t>MARÇO/2023 </t>
  </si>
  <si>
    <t> JULHO/2023 </t>
  </si>
  <si>
    <t>DEZEMBRO/2022 </t>
  </si>
  <si>
    <t>REPASSE FUNDO A FUNDO DO VALOR DO PROCEDIMENTO DE ALTA COMPLEXIDADE DE TRAUMATO ORTOPEDIA</t>
  </si>
  <si>
    <t>JUNHO A DEZEMBRO/2022</t>
  </si>
  <si>
    <t> NOVEMBRO/2022</t>
  </si>
  <si>
    <t>POLÍTICA ESTADUAL DE FORTALECIMENTO DA ATENÇÃO PRIMÁRIA - PEFAP</t>
  </si>
  <si>
    <t>INCREMENTO DO CUSTEIO E MANUTENÇÃO DO SAMU 192</t>
  </si>
  <si>
    <t>PAGTO DO OFICIO 194/2023-GP, SOF.276/2023-SES/NUGEP, NOTA TECNICA Nº 187/2023, PLANO DE TRABALHO 44537985, EMENDA PARLAMENTAR Nº 614/2023, PARA AQUISIÇÃO DE EQUIPAMENTOS E MOBILIARIOS PARA O MUNICIPIO. </t>
  </si>
  <si>
    <t>NOTA TÉCNICA 182 (43169204), EMENDA PARLAMENTAR Nº 613/23 REFERENTE A AQUISIÇÃO DE AMBULÂNCIA. </t>
  </si>
  <si>
    <t>INCENTIVO FINANCEIRO ESTADUAL PARA LEITOS DE RETAGUARDA EM CIRURGIA VASCULAR</t>
  </si>
  <si>
    <t> JANEIRO/2024 </t>
  </si>
  <si>
    <t> MARÇO/2024</t>
  </si>
  <si>
    <t>ABRIL/2024 </t>
  </si>
  <si>
    <t> JULHO/2024</t>
  </si>
  <si>
    <t>INCENTIVO FINANCEIRO ESTADUAL PARA UNIDADE DE ASSIST. DE ALTA COMPLEXIDADE EM TRAUMATOLOGIA E ORTOPEDIA </t>
  </si>
  <si>
    <t>INCENTIVO FINANCEIRO ESTADUAL PARA UNIDADE DE ASSIST. DE ALTA COMPLEXIDADE EM TRAUMATOLOGIA E ORTOPEDIA</t>
  </si>
  <si>
    <t>FEVEREIRO/2024 </t>
  </si>
  <si>
    <t>JUNHO/2024 </t>
  </si>
  <si>
    <t>LEITOS DE RETAGUARDA DE CUIDADOS PROLONGADOS EM NEUROLOGIA (ENFERMARIA) DA REDE DE ATENÇÃO ÀS URGÊNCIA EM JABOATÃO DOS GUARARAPES</t>
  </si>
  <si>
    <t>CONTRAPARTIDA ESTADUAL DO COMPONENTE BÁSICO DA ASSISTÊNCIA FARMACÊUTICA </t>
  </si>
  <si>
    <t> CUSTEIO E MANUTENÇÃO DO SERVIÇO DE ATENDIMENTO MOVÉL DE URGÊNCIA - SAMU 192</t>
  </si>
  <si>
    <t>REPASSE FIXO PARA ATENÇÃO PRIMÁRIA - PEFAP </t>
  </si>
  <si>
    <t>REPASSE FIXO PARA ATENÇÃO PRIMÁRIA - PEFAP</t>
  </si>
  <si>
    <t>JANEIRO/2024 </t>
  </si>
  <si>
    <t>COMPONENTE BÁSICO DA ASSISTÊNCIA FARMACÊUTICA</t>
  </si>
  <si>
    <t>EMENDA PARLAMENTAR Nº 170 REFERENTE A AQUISIÇÃO DE INSUMOS E MEDICAMENTOS P/ A REDE MUNICIPAL SAÚDE</t>
  </si>
  <si>
    <t>DEVOLVIDA</t>
  </si>
  <si>
    <t>EMENDA PARLAMENTAR Nº 1160, AQUISIÇÃO DE INSUMOS E MEDICAMENTOS PARA A REDE MUNICIPAL DE SAÚDE</t>
  </si>
  <si>
    <t>LEITOS DE RETAGUARDA NA ESPECIALIDADE DE CIRURGIA VASCULAR DE ACORDO COM AS PORTARIAS SES/PE Nº 372/2021 DE 24 DE MAIO 2021 E Nº 522 DE 27 DE JULHO DE 2021</t>
  </si>
  <si>
    <t>SERVIÇOS LEITOS DE RETAGUARDA DE CUIDADOS PROLONGADOS EM NEUROLOGIA (ENFERMARIA) DA REDE DE ATENÇÃO ÀS URGÊNCIAS DE FORMA REGULAR E AUTOMÁTICA</t>
  </si>
  <si>
    <t>SERVIÇOS ASSISTÊNCIA DE ALTA COMPLEXIDADE EM TRAUMATOLOGIA E ORTOPEDIA.</t>
  </si>
  <si>
    <t>INCENTIVO FINANCEIRO PARA ATENÇÃO À SAÚDE BUCAL - PORTARIA GM/MS Nº 6.796, DE 26 DE MARÇO DE 2025 R$ 905.262,77/mês</t>
  </si>
  <si>
    <t>INCENTIVO FINANCEIRO DA APS - DEMAIS PROGRAMAS, SERVIÇOS E EQUIPES DA ATENÇÃO PRIMÁRIA À SAÚDE - PORTARIA GM/MS Nº 6.796, DE 26 DE MARÇO DE 2025 - R$ 109.706,00</t>
  </si>
  <si>
    <t>E-multi  
PORTARIA GM/MS Nº 6.796, DE 26 DE MARÇO DE 2025 - R$ 228.000,00/mês</t>
  </si>
  <si>
    <t>Competência</t>
  </si>
  <si>
    <t>COMPONENTE FIXO</t>
  </si>
  <si>
    <t>COMPONENTE DE QUALIDADE
 Incentivo Financeiro Variável por Desempenho na Atenção Primária à Saúde (IFVD/APS)
70% para repasse aos profissionais
30% custeio da gestão</t>
  </si>
  <si>
    <t>COMPONENTE DE VÍNCULO E ACOMPANHAMENTO TERRITORIAL</t>
  </si>
  <si>
    <r>
      <rPr>
        <rFont val="Arial"/>
        <b/>
        <color theme="1"/>
        <sz val="10.0"/>
      </rPr>
      <t>TOTAL</t>
    </r>
    <r>
      <rPr>
        <rFont val="Arial"/>
        <color theme="1"/>
        <sz val="6.0"/>
      </rPr>
      <t xml:space="preserve">
NOVO FINANCIAMENTO APS - Portaria Nº 3.493/2024 - Componente Fixo: R$ 1.533.000,00 + Qualidade R$ 657.000,00 + Vínculo e Acompanhamento Territorial R$ 657.000,00 TOTAL MENSAL: R$ 2.847.000
PORTARIA GM/MS Nº 6.796, DE 26 DE MARÇO DE 2025 - 3.054,000,00/mês</t>
    </r>
  </si>
  <si>
    <t xml:space="preserve">NOVO FINANCIAMENTO APS  - Portaria Nº 6717/2025 de 18 de março de 2025 - Valor refere-se ao Incentivo Financeiro com base em critério populacional (Port. Nº 74/2023)
R$ 338.795,48 / mês
R$ 4.065.545,76/ano
</t>
  </si>
  <si>
    <t>Total demais programas</t>
  </si>
  <si>
    <r>
      <rPr>
        <rFont val="Arial"/>
        <color theme="1"/>
        <sz val="6.0"/>
      </rPr>
      <t xml:space="preserve"> 
PORTARIA GM/MS Nº 190, DE 24 DE FEVEREIRO DE 2023 - Valor Mensal: 
R$ 345.296,52  PORTARIA GM/MS Nº 3.385, DE 19 DE MARÇO DE 2024 (Incremento Excepcional) =Parcela Única:  R$ 983.217,00 </t>
    </r>
    <r>
      <rPr>
        <rFont val="Arial"/>
        <b/>
        <color theme="1"/>
        <sz val="6.0"/>
      </rPr>
      <t>PORTARIA Nº 5.634/2024 Mensal: 391.789,18; Anual: 4.701.470,16</t>
    </r>
  </si>
  <si>
    <t>Jan</t>
  </si>
  <si>
    <t>pg</t>
  </si>
  <si>
    <t>R$ 2.413.620,00</t>
  </si>
  <si>
    <t>Fev</t>
  </si>
  <si>
    <t>R$ 2.392.368,00</t>
  </si>
  <si>
    <t>Mar</t>
  </si>
  <si>
    <t>Abr</t>
  </si>
  <si>
    <t>Atualizado em 22/04/2025</t>
  </si>
  <si>
    <t>(</t>
  </si>
  <si>
    <t>EMENDA - ESTRUTURAÇÃO DE UNIDADES DE ATENÇÃO ESPECIALIZADA EM SAÚDE</t>
  </si>
  <si>
    <t>ATENÇÃO À SAÚDE DA POPULAÇÃO PARA PROCEDIMENTOS NO MAC - Portaria Teto MAC nº 6.532 DE 9 DE JANEIRO DE 2025 (TETO SEM SAMU =  R$ 1.733.550,00 / COM SAMU =  R$ 116.393.572,76</t>
  </si>
  <si>
    <t>FAEC REDUÇÃO DE FILA DE CIRURGIAS ELETIVAS</t>
  </si>
  <si>
    <t>UTI NEO HMG</t>
  </si>
  <si>
    <t>SRT 
(ACRÉSCIMO)</t>
  </si>
  <si>
    <t>CUSTEIO DE SERVIÇOS PRESTADOS POR ENTIDADES PRIVADAS SEM FINS LUCRATIVOS QUE COMPLEMENTEM O SUS, CONFORME A LEI COMPLEMENTAR Nº 197</t>
  </si>
  <si>
    <t>PORTARIA GM/MS Nº 6220 DE 29 DE DEZEMBRO DE 2024
UTI NEO HMG- 30 L
ANUAL: .R$ 1.182.600,00 / 12 = 98.550,00</t>
  </si>
  <si>
    <t xml:space="preserve">(ACRÉSCIMO)
PORTARIA GM/MS Nº 6265 DE 24 DE DEZEMBRO DE 2024
4 SRT TIPO I
VALOR ANTERIOR: .152.532,00 X 3 + 133.465,44 = 591.061,44
VALOR NOVO: .183.038,40 X 3 + .160.158,60 = 709.273,80
ACRÉSCIMO DE: 118.212,36 / 12 = 9.851,03
</t>
  </si>
  <si>
    <t>Portaria GM/ms Nº 6.402 DE 29 DE dezembro DE 2024
Transposição de recurso para entidade sem fins lucrtivos
R$ 3.464.072,21</t>
  </si>
  <si>
    <t>PORTARIA GM/MS Nº 6.527, DE 7 DE JANEIRO DE 2025 -  R$ 3.112.267,17/ ano e R$ 259.355,59/mês  + PORTARIA GM/MS Nº 3.288, DE 8 DE MARÇO DE 2024 (Multivacinação) - Parcela Única: R$ 233.261,77 + PORTARIA GM/MS Nº 3.558, DE 16 DE ABRIL DE 2024 - Parcela Única: R$ 60.000,00</t>
  </si>
  <si>
    <t>Portaria Nº 6715/2025 Ações de Vacinação Vacinação escola: R$ 86741,62 Vac. Demais ações: 146.520,15 Valor total: R$233.261,77 ÚNICA</t>
  </si>
  <si>
    <t xml:space="preserve">
PORTARIA GM/MS Nº 6.530, DE 9 DE JANEIRO DE 2025 - Valor Mensal:R$ 558.472,20 - Incentivo Financeiro para fortalecimento de políticas afetas à atuação dos ACE
R$ 10.610.971,80 - Assistência Financeira Complementar</t>
  </si>
  <si>
    <r>
      <rPr>
        <rFont val="Arial"/>
        <b val="0"/>
        <color theme="1"/>
        <sz val="7.0"/>
      </rPr>
      <t xml:space="preserve">Valor Mensal: 
R$ 47.715,81 </t>
    </r>
    <r>
      <rPr>
        <rFont val="Arial"/>
        <b/>
        <color theme="1"/>
        <sz val="7.0"/>
      </rPr>
      <t>- PORTARIA Nº 6558/25: Mensal: R$ 45.455,13; Anual: 545.461,60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</si>
</sst>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&quot;R$ &quot;#,##0.00"/>
    <numFmt numFmtId="165" formatCode="_-&quot;R$ &quot;* #,##0.00_-;&quot;-R$ &quot;* #,##0.00_-;_-&quot;R$ &quot;* \-??_-;_-@"/>
    <numFmt numFmtId="166" formatCode="_-[$R$-416]\ * #,##0.00_-;\-[$R$-416]\ * #,##0.00_-;_-[$R$-416]\ * \-??_-;_-@"/>
    <numFmt numFmtId="167" formatCode="_-&quot;R$&quot;\ * #,##0.00_-;\-&quot;R$&quot;\ * #,##0.00_-;_-&quot;R$&quot;\ * &quot;-&quot;??_-;_-@"/>
    <numFmt numFmtId="168" formatCode="_([$R$ -416]* #,##0.00_);_([$R$ -416]* \(#,##0.00\);_([$R$ -416]* &quot;-&quot;??_);_(@_)"/>
    <numFmt numFmtId="169" formatCode="[$R$ -416]#,##0.00"/>
    <numFmt numFmtId="170" formatCode="&quot;R$&quot;\ #,##0.00_);[Red]\(&quot;R$&quot;\ #,###.00\)"/>
    <numFmt numFmtId="171" formatCode="dd/MM/yyyy"/>
    <numFmt numFmtId="172" formatCode="mmmm&quot; / &quot;yyyy"/>
  </numFmts>
  <fonts count="40">
    <font>
      <sz val="11.0"/>
      <color theme="1"/>
      <name val="Calibri"/>
      <scheme val="minor"/>
    </font>
    <font>
      <b/>
      <sz val="20.0"/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  <font>
      <b/>
      <sz val="11.0"/>
      <color theme="1"/>
      <name val="Arial"/>
    </font>
    <font>
      <sz val="12.0"/>
      <color theme="1"/>
      <name val="Arial"/>
    </font>
    <font>
      <sz val="8.0"/>
      <color theme="1"/>
      <name val="Arial"/>
    </font>
    <font>
      <b/>
      <sz val="12.0"/>
      <color rgb="FF1F497D"/>
      <name val="Arial"/>
    </font>
    <font>
      <sz val="11.0"/>
      <color theme="1"/>
      <name val="Arial"/>
    </font>
    <font>
      <sz val="12.0"/>
      <color rgb="FF333333"/>
      <name val="Arial"/>
    </font>
    <font>
      <sz val="9.0"/>
      <color rgb="FF444444"/>
      <name val="Arial"/>
    </font>
    <font>
      <sz val="12.0"/>
      <color rgb="FF444444"/>
      <name val="Arial"/>
    </font>
    <font>
      <color theme="1"/>
      <name val="Calibri"/>
      <scheme val="minor"/>
    </font>
    <font>
      <b/>
      <sz val="12.0"/>
      <color rgb="FFFFFFFF"/>
      <name val="Arial"/>
    </font>
    <font>
      <b/>
      <sz val="11.0"/>
      <color rgb="FF1F497D"/>
      <name val="Calibri"/>
    </font>
    <font>
      <b/>
      <sz val="11.0"/>
      <color theme="1"/>
      <name val="Calibri"/>
    </font>
    <font>
      <sz val="10.0"/>
      <color theme="0"/>
      <name val="Arial"/>
    </font>
    <font>
      <sz val="12.0"/>
      <color rgb="FF1F497D"/>
      <name val="Arial"/>
    </font>
    <font>
      <sz val="12.0"/>
      <color rgb="FF000000"/>
      <name val="Arial"/>
    </font>
    <font>
      <b/>
      <sz val="12.0"/>
      <color rgb="FFFF0000"/>
      <name val="Arial"/>
    </font>
    <font>
      <sz val="10.0"/>
      <color theme="1"/>
      <name val="Arial"/>
    </font>
    <font>
      <b/>
      <sz val="10.0"/>
      <color theme="1"/>
      <name val="Calibri"/>
    </font>
    <font>
      <sz val="10.0"/>
      <color theme="1"/>
      <name val="Calibri"/>
    </font>
    <font>
      <sz val="10.0"/>
      <color rgb="FF17314B"/>
      <name val="Calibri"/>
    </font>
    <font>
      <b/>
      <color rgb="FFFF0000"/>
      <name val="Calibri"/>
      <scheme val="minor"/>
    </font>
    <font>
      <sz val="9.0"/>
      <color theme="0"/>
      <name val="Arial"/>
    </font>
    <font>
      <sz val="9.0"/>
      <color rgb="FFFFFFFF"/>
      <name val="Arial"/>
    </font>
    <font>
      <b/>
      <sz val="9.0"/>
      <color theme="1"/>
      <name val="Arial"/>
    </font>
    <font>
      <sz val="6.0"/>
      <color theme="1"/>
      <name val="Arial"/>
    </font>
    <font>
      <b/>
      <sz val="8.0"/>
      <color theme="1"/>
      <name val="Arial"/>
    </font>
    <font>
      <sz val="9.0"/>
      <color theme="1"/>
      <name val="Calibri"/>
      <scheme val="minor"/>
    </font>
    <font>
      <b/>
      <sz val="7.0"/>
      <color theme="1"/>
      <name val="Arial"/>
    </font>
    <font>
      <sz val="7.0"/>
      <color theme="1"/>
      <name val="Arial"/>
    </font>
    <font>
      <sz val="7.0"/>
      <color theme="1"/>
      <name val="Calibri"/>
      <scheme val="minor"/>
    </font>
    <font>
      <sz val="10.0"/>
      <color rgb="FF000000"/>
      <name val="Arial"/>
    </font>
    <font>
      <b/>
      <sz val="10.0"/>
      <color rgb="FF1F497D"/>
      <name val="Arial"/>
    </font>
    <font>
      <sz val="14.0"/>
      <color rgb="FF162937"/>
      <name val="Rawline"/>
    </font>
  </fonts>
  <fills count="25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  <fill>
      <patternFill patternType="solid">
        <fgColor rgb="FFE4E4E4"/>
        <bgColor rgb="FFE4E4E4"/>
      </patternFill>
    </fill>
    <fill>
      <patternFill patternType="solid">
        <fgColor rgb="FFCCC1D9"/>
        <bgColor rgb="FFCCC1D9"/>
      </patternFill>
    </fill>
    <fill>
      <patternFill patternType="solid">
        <fgColor rgb="FF92CDDC"/>
        <bgColor rgb="FF92CDDC"/>
      </patternFill>
    </fill>
    <fill>
      <patternFill patternType="solid">
        <fgColor rgb="FFD8D8D8"/>
        <bgColor rgb="FFD8D8D8"/>
      </patternFill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DEE6EF"/>
        <bgColor rgb="FFDEE6EF"/>
      </patternFill>
    </fill>
    <fill>
      <patternFill patternType="solid">
        <fgColor rgb="FFEAF1DD"/>
        <bgColor rgb="FFEAF1DD"/>
      </patternFill>
    </fill>
    <fill>
      <patternFill patternType="solid">
        <fgColor rgb="FFC6D9F0"/>
        <bgColor rgb="FFC6D9F0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BDBD"/>
        <bgColor rgb="FFFFBDBD"/>
      </patternFill>
    </fill>
    <fill>
      <patternFill patternType="solid">
        <fgColor rgb="FFD7E3BC"/>
        <bgColor rgb="FFD7E3BC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FFE599"/>
        <bgColor rgb="FFFFE599"/>
      </patternFill>
    </fill>
    <fill>
      <patternFill patternType="solid">
        <fgColor rgb="FFFBD5B5"/>
        <bgColor rgb="FFFBD5B5"/>
      </patternFill>
    </fill>
    <fill>
      <patternFill patternType="solid">
        <fgColor rgb="FF93C47D"/>
        <bgColor rgb="FF93C47D"/>
      </patternFill>
    </fill>
    <fill>
      <patternFill patternType="solid">
        <fgColor rgb="FFB2A1C7"/>
        <bgColor rgb="FFB2A1C7"/>
      </patternFill>
    </fill>
  </fills>
  <borders count="4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BCE8F1"/>
      </left>
      <right style="thin">
        <color rgb="FFBCE8F1"/>
      </right>
      <bottom style="thin">
        <color rgb="FFBCE8F1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BCE8F1"/>
      </left>
      <right style="thin">
        <color rgb="FFBCE8F1"/>
      </right>
      <top style="thin">
        <color rgb="FFBCE8F1"/>
      </top>
    </border>
    <border>
      <left/>
      <right/>
      <bottom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BCE8F1"/>
      </left>
      <right style="thin">
        <color rgb="FFBCE8F1"/>
      </right>
      <top style="thin">
        <color rgb="FFBCE8F1"/>
      </top>
      <bottom style="thin">
        <color rgb="FFBCE8F1"/>
      </bottom>
    </border>
  </borders>
  <cellStyleXfs count="1">
    <xf borderId="0" fillId="0" fontId="0" numFmtId="0" applyAlignment="1" applyFont="1"/>
  </cellStyleXfs>
  <cellXfs count="4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horizontal="left" vertical="center"/>
    </xf>
    <xf borderId="2" fillId="2" fontId="4" numFmtId="0" xfId="0" applyAlignment="1" applyBorder="1" applyFill="1" applyFont="1">
      <alignment horizontal="left" shrinkToFit="0" vertical="center" wrapText="1"/>
    </xf>
    <xf borderId="3" fillId="2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6" fillId="2" fontId="4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2" fontId="6" numFmtId="164" xfId="0" applyAlignment="1" applyBorder="1" applyFont="1" applyNumberFormat="1">
      <alignment horizontal="left" shrinkToFit="0" vertical="center" wrapText="1"/>
    </xf>
    <xf borderId="9" fillId="2" fontId="4" numFmtId="164" xfId="0" applyAlignment="1" applyBorder="1" applyFont="1" applyNumberFormat="1">
      <alignment horizontal="left" shrinkToFit="0" vertical="center" wrapText="1"/>
    </xf>
    <xf borderId="9" fillId="2" fontId="7" numFmtId="164" xfId="0" applyAlignment="1" applyBorder="1" applyFont="1" applyNumberFormat="1">
      <alignment horizontal="center" shrinkToFit="0" vertical="center" wrapText="1"/>
    </xf>
    <xf borderId="10" fillId="3" fontId="4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horizontal="left" shrinkToFit="0" vertical="center" wrapText="1"/>
    </xf>
    <xf borderId="2" fillId="4" fontId="8" numFmtId="0" xfId="0" applyAlignment="1" applyBorder="1" applyFill="1" applyFont="1">
      <alignment horizontal="left" shrinkToFit="0" vertical="center" wrapText="1"/>
    </xf>
    <xf borderId="11" fillId="4" fontId="8" numFmtId="0" xfId="0" applyAlignment="1" applyBorder="1" applyFont="1">
      <alignment horizontal="left" shrinkToFit="0" vertical="center" wrapText="1"/>
    </xf>
    <xf borderId="2" fillId="4" fontId="8" numFmtId="4" xfId="0" applyAlignment="1" applyBorder="1" applyFont="1" applyNumberFormat="1">
      <alignment shrinkToFit="0" vertical="center" wrapText="1"/>
    </xf>
    <xf borderId="2" fillId="4" fontId="8" numFmtId="0" xfId="0" applyAlignment="1" applyBorder="1" applyFont="1">
      <alignment shrinkToFit="0" vertical="center" wrapText="1"/>
    </xf>
    <xf borderId="2" fillId="4" fontId="8" numFmtId="4" xfId="0" applyAlignment="1" applyBorder="1" applyFont="1" applyNumberFormat="1">
      <alignment horizontal="left" shrinkToFit="0" vertical="center" wrapText="1"/>
    </xf>
    <xf borderId="2" fillId="4" fontId="8" numFmtId="165" xfId="0" applyAlignment="1" applyBorder="1" applyFont="1" applyNumberFormat="1">
      <alignment horizontal="left" shrinkToFit="0" vertical="center" wrapText="1"/>
    </xf>
    <xf borderId="2" fillId="4" fontId="8" numFmtId="164" xfId="0" applyAlignment="1" applyBorder="1" applyFont="1" applyNumberFormat="1">
      <alignment horizontal="left" shrinkToFit="0" vertical="center" wrapText="1"/>
    </xf>
    <xf borderId="2" fillId="4" fontId="9" numFmtId="164" xfId="0" applyAlignment="1" applyBorder="1" applyFont="1" applyNumberFormat="1">
      <alignment horizontal="center" shrinkToFit="0" vertical="center" wrapText="1"/>
    </xf>
    <xf borderId="10" fillId="3" fontId="3" numFmtId="0" xfId="0" applyAlignment="1" applyBorder="1" applyFont="1">
      <alignment horizontal="left"/>
    </xf>
    <xf borderId="2" fillId="0" fontId="10" numFmtId="0" xfId="0" applyAlignment="1" applyBorder="1" applyFont="1">
      <alignment horizontal="left" vertical="center"/>
    </xf>
    <xf borderId="12" fillId="5" fontId="8" numFmtId="164" xfId="0" applyAlignment="1" applyBorder="1" applyFill="1" applyFont="1" applyNumberFormat="1">
      <alignment horizontal="left" shrinkToFit="0" vertical="center" wrapText="1"/>
    </xf>
    <xf borderId="13" fillId="5" fontId="8" numFmtId="0" xfId="0" applyAlignment="1" applyBorder="1" applyFont="1">
      <alignment horizontal="left"/>
    </xf>
    <xf borderId="2" fillId="6" fontId="8" numFmtId="0" xfId="0" applyAlignment="1" applyBorder="1" applyFill="1" applyFont="1">
      <alignment horizontal="left" shrinkToFit="0" vertical="center" wrapText="1"/>
    </xf>
    <xf borderId="2" fillId="6" fontId="8" numFmtId="0" xfId="0" applyAlignment="1" applyBorder="1" applyFont="1">
      <alignment horizontal="left" vertical="center"/>
    </xf>
    <xf borderId="2" fillId="6" fontId="4" numFmtId="0" xfId="0" applyAlignment="1" applyBorder="1" applyFont="1">
      <alignment horizontal="left" vertical="center"/>
    </xf>
    <xf borderId="2" fillId="7" fontId="8" numFmtId="0" xfId="0" applyAlignment="1" applyBorder="1" applyFill="1" applyFont="1">
      <alignment horizontal="left" shrinkToFit="0" vertical="center" wrapText="1"/>
    </xf>
    <xf borderId="14" fillId="7" fontId="8" numFmtId="0" xfId="0" applyAlignment="1" applyBorder="1" applyFont="1">
      <alignment horizontal="left" shrinkToFit="0" vertical="center" wrapText="1"/>
    </xf>
    <xf borderId="2" fillId="7" fontId="8" numFmtId="164" xfId="0" applyAlignment="1" applyBorder="1" applyFont="1" applyNumberFormat="1">
      <alignment horizontal="left" shrinkToFit="0" vertical="center" wrapText="1"/>
    </xf>
    <xf borderId="15" fillId="7" fontId="8" numFmtId="164" xfId="0" applyAlignment="1" applyBorder="1" applyFont="1" applyNumberFormat="1">
      <alignment horizontal="left" shrinkToFit="0" vertical="center" wrapText="1"/>
    </xf>
    <xf borderId="15" fillId="7" fontId="8" numFmtId="164" xfId="0" applyAlignment="1" applyBorder="1" applyFont="1" applyNumberFormat="1">
      <alignment horizontal="left" vertical="center"/>
    </xf>
    <xf borderId="13" fillId="8" fontId="8" numFmtId="164" xfId="0" applyAlignment="1" applyBorder="1" applyFill="1" applyFont="1" applyNumberFormat="1">
      <alignment horizontal="left"/>
    </xf>
    <xf borderId="2" fillId="8" fontId="8" numFmtId="164" xfId="0" applyAlignment="1" applyBorder="1" applyFont="1" applyNumberFormat="1">
      <alignment horizontal="left"/>
    </xf>
    <xf borderId="2" fillId="8" fontId="11" numFmtId="164" xfId="0" applyBorder="1" applyFont="1" applyNumberFormat="1"/>
    <xf borderId="16" fillId="0" fontId="4" numFmtId="17" xfId="0" applyAlignment="1" applyBorder="1" applyFont="1" applyNumberFormat="1">
      <alignment horizontal="left" vertical="center"/>
    </xf>
    <xf borderId="2" fillId="9" fontId="4" numFmtId="17" xfId="0" applyAlignment="1" applyBorder="1" applyFill="1" applyFont="1" applyNumberFormat="1">
      <alignment horizontal="left" vertical="center"/>
    </xf>
    <xf borderId="12" fillId="9" fontId="8" numFmtId="166" xfId="0" applyAlignment="1" applyBorder="1" applyFont="1" applyNumberFormat="1">
      <alignment horizontal="left"/>
    </xf>
    <xf borderId="17" fillId="9" fontId="8" numFmtId="166" xfId="0" applyAlignment="1" applyBorder="1" applyFont="1" applyNumberFormat="1">
      <alignment horizontal="left"/>
    </xf>
    <xf borderId="18" fillId="9" fontId="8" numFmtId="166" xfId="0" applyAlignment="1" applyBorder="1" applyFont="1" applyNumberFormat="1">
      <alignment horizontal="left"/>
    </xf>
    <xf borderId="18" fillId="10" fontId="8" numFmtId="166" xfId="0" applyAlignment="1" applyBorder="1" applyFill="1" applyFont="1" applyNumberFormat="1">
      <alignment horizontal="left"/>
    </xf>
    <xf borderId="18" fillId="10" fontId="8" numFmtId="166" xfId="0" applyAlignment="1" applyBorder="1" applyFont="1" applyNumberFormat="1">
      <alignment horizontal="left" shrinkToFit="0" wrapText="1"/>
    </xf>
    <xf borderId="19" fillId="10" fontId="8" numFmtId="166" xfId="0" applyAlignment="1" applyBorder="1" applyFont="1" applyNumberFormat="1">
      <alignment horizontal="left"/>
    </xf>
    <xf borderId="2" fillId="10" fontId="8" numFmtId="165" xfId="0" applyAlignment="1" applyBorder="1" applyFont="1" applyNumberFormat="1">
      <alignment horizontal="left"/>
    </xf>
    <xf borderId="2" fillId="9" fontId="8" numFmtId="165" xfId="0" applyAlignment="1" applyBorder="1" applyFont="1" applyNumberFormat="1">
      <alignment horizontal="left" vertical="center"/>
    </xf>
    <xf borderId="20" fillId="9" fontId="8" numFmtId="165" xfId="0" applyAlignment="1" applyBorder="1" applyFont="1" applyNumberFormat="1">
      <alignment horizontal="left"/>
    </xf>
    <xf borderId="15" fillId="9" fontId="8" numFmtId="165" xfId="0" applyAlignment="1" applyBorder="1" applyFont="1" applyNumberFormat="1">
      <alignment horizontal="left"/>
    </xf>
    <xf borderId="15" fillId="9" fontId="8" numFmtId="165" xfId="0" applyAlignment="1" applyBorder="1" applyFont="1" applyNumberFormat="1">
      <alignment horizontal="left" vertical="center"/>
    </xf>
    <xf borderId="15" fillId="9" fontId="8" numFmtId="165" xfId="0" applyBorder="1" applyFont="1" applyNumberFormat="1"/>
    <xf borderId="2" fillId="0" fontId="4" numFmtId="17" xfId="0" applyAlignment="1" applyBorder="1" applyFont="1" applyNumberFormat="1">
      <alignment horizontal="left" vertical="center"/>
    </xf>
    <xf borderId="11" fillId="11" fontId="8" numFmtId="165" xfId="0" applyAlignment="1" applyBorder="1" applyFill="1" applyFont="1" applyNumberFormat="1">
      <alignment horizontal="left" shrinkToFit="0" vertical="center" wrapText="1"/>
    </xf>
    <xf borderId="2" fillId="11" fontId="8" numFmtId="166" xfId="0" applyAlignment="1" applyBorder="1" applyFont="1" applyNumberFormat="1">
      <alignment horizontal="left"/>
    </xf>
    <xf borderId="2" fillId="11" fontId="8" numFmtId="166" xfId="0" applyAlignment="1" applyBorder="1" applyFont="1" applyNumberFormat="1">
      <alignment horizontal="left" vertical="center"/>
    </xf>
    <xf borderId="17" fillId="11" fontId="8" numFmtId="166" xfId="0" applyAlignment="1" applyBorder="1" applyFont="1" applyNumberFormat="1">
      <alignment horizontal="left"/>
    </xf>
    <xf borderId="17" fillId="11" fontId="8" numFmtId="165" xfId="0" applyAlignment="1" applyBorder="1" applyFont="1" applyNumberFormat="1">
      <alignment horizontal="left"/>
    </xf>
    <xf borderId="2" fillId="11" fontId="8" numFmtId="165" xfId="0" applyAlignment="1" applyBorder="1" applyFont="1" applyNumberFormat="1">
      <alignment horizontal="left"/>
    </xf>
    <xf borderId="11" fillId="11" fontId="8" numFmtId="165" xfId="0" applyAlignment="1" applyBorder="1" applyFont="1" applyNumberFormat="1">
      <alignment horizontal="left"/>
    </xf>
    <xf borderId="21" fillId="11" fontId="8" numFmtId="165" xfId="0" applyAlignment="1" applyBorder="1" applyFont="1" applyNumberFormat="1">
      <alignment horizontal="left"/>
    </xf>
    <xf borderId="16" fillId="0" fontId="8" numFmtId="165" xfId="0" applyAlignment="1" applyBorder="1" applyFont="1" applyNumberFormat="1">
      <alignment horizontal="left" vertical="center"/>
    </xf>
    <xf borderId="2" fillId="11" fontId="8" numFmtId="165" xfId="0" applyAlignment="1" applyBorder="1" applyFont="1" applyNumberFormat="1">
      <alignment horizontal="right" vertical="center"/>
    </xf>
    <xf borderId="20" fillId="9" fontId="8" numFmtId="165" xfId="0" applyAlignment="1" applyBorder="1" applyFont="1" applyNumberFormat="1">
      <alignment horizontal="left" shrinkToFit="0" vertical="center" wrapText="1"/>
    </xf>
    <xf borderId="22" fillId="9" fontId="8" numFmtId="166" xfId="0" applyAlignment="1" applyBorder="1" applyFont="1" applyNumberFormat="1">
      <alignment horizontal="left"/>
    </xf>
    <xf borderId="2" fillId="9" fontId="8" numFmtId="166" xfId="0" applyAlignment="1" applyBorder="1" applyFont="1" applyNumberFormat="1">
      <alignment horizontal="left" shrinkToFit="0" wrapText="1"/>
    </xf>
    <xf borderId="18" fillId="9" fontId="8" numFmtId="166" xfId="0" applyAlignment="1" applyBorder="1" applyFont="1" applyNumberFormat="1">
      <alignment horizontal="left" shrinkToFit="0" wrapText="1"/>
    </xf>
    <xf borderId="2" fillId="10" fontId="8" numFmtId="165" xfId="0" applyAlignment="1" applyBorder="1" applyFont="1" applyNumberFormat="1">
      <alignment horizontal="left" vertical="center"/>
    </xf>
    <xf borderId="2" fillId="9" fontId="8" numFmtId="165" xfId="0" applyAlignment="1" applyBorder="1" applyFont="1" applyNumberFormat="1">
      <alignment horizontal="left"/>
    </xf>
    <xf borderId="11" fillId="11" fontId="8" numFmtId="165" xfId="0" applyAlignment="1" applyBorder="1" applyFont="1" applyNumberFormat="1">
      <alignment horizontal="left" vertical="center"/>
    </xf>
    <xf borderId="2" fillId="11" fontId="8" numFmtId="165" xfId="0" applyAlignment="1" applyBorder="1" applyFont="1" applyNumberFormat="1">
      <alignment horizontal="left" vertical="center"/>
    </xf>
    <xf borderId="2" fillId="11" fontId="8" numFmtId="165" xfId="0" applyAlignment="1" applyBorder="1" applyFont="1" applyNumberFormat="1">
      <alignment horizontal="left" shrinkToFit="0" vertical="center" wrapText="1"/>
    </xf>
    <xf borderId="2" fillId="9" fontId="12" numFmtId="165" xfId="0" applyAlignment="1" applyBorder="1" applyFont="1" applyNumberFormat="1">
      <alignment horizontal="left"/>
    </xf>
    <xf borderId="2" fillId="0" fontId="8" numFmtId="165" xfId="0" applyAlignment="1" applyBorder="1" applyFont="1" applyNumberFormat="1">
      <alignment horizontal="left" shrinkToFit="0" wrapText="1"/>
    </xf>
    <xf borderId="2" fillId="0" fontId="8" numFmtId="165" xfId="0" applyAlignment="1" applyBorder="1" applyFont="1" applyNumberFormat="1">
      <alignment horizontal="left"/>
    </xf>
    <xf borderId="2" fillId="0" fontId="8" numFmtId="165" xfId="0" applyAlignment="1" applyBorder="1" applyFont="1" applyNumberFormat="1">
      <alignment shrinkToFit="0" wrapText="1"/>
    </xf>
    <xf borderId="11" fillId="12" fontId="8" numFmtId="165" xfId="0" applyAlignment="1" applyBorder="1" applyFill="1" applyFont="1" applyNumberFormat="1">
      <alignment horizontal="left"/>
    </xf>
    <xf borderId="2" fillId="12" fontId="8" numFmtId="165" xfId="0" applyAlignment="1" applyBorder="1" applyFont="1" applyNumberFormat="1">
      <alignment horizontal="left" shrinkToFit="0" wrapText="1"/>
    </xf>
    <xf borderId="2" fillId="10" fontId="8" numFmtId="165" xfId="0" applyAlignment="1" applyBorder="1" applyFont="1" applyNumberFormat="1">
      <alignment horizontal="left" shrinkToFit="0" wrapText="1"/>
    </xf>
    <xf borderId="10" fillId="12" fontId="8" numFmtId="165" xfId="0" applyAlignment="1" applyBorder="1" applyFont="1" applyNumberFormat="1">
      <alignment horizontal="left"/>
    </xf>
    <xf borderId="2" fillId="12" fontId="8" numFmtId="165" xfId="0" applyAlignment="1" applyBorder="1" applyFont="1" applyNumberFormat="1">
      <alignment horizontal="left"/>
    </xf>
    <xf borderId="10" fillId="13" fontId="10" numFmtId="0" xfId="0" applyAlignment="1" applyBorder="1" applyFill="1" applyFont="1">
      <alignment horizontal="left"/>
    </xf>
    <xf borderId="10" fillId="13" fontId="10" numFmtId="164" xfId="0" applyAlignment="1" applyBorder="1" applyFont="1" applyNumberFormat="1">
      <alignment horizontal="left"/>
    </xf>
    <xf borderId="23" fillId="13" fontId="10" numFmtId="164" xfId="0" applyAlignment="1" applyBorder="1" applyFont="1" applyNumberFormat="1">
      <alignment horizontal="left"/>
    </xf>
    <xf borderId="10" fillId="13" fontId="10" numFmtId="166" xfId="0" applyAlignment="1" applyBorder="1" applyFont="1" applyNumberFormat="1">
      <alignment horizontal="left"/>
    </xf>
    <xf borderId="10" fillId="13" fontId="10" numFmtId="166" xfId="0" applyAlignment="1" applyBorder="1" applyFont="1" applyNumberFormat="1">
      <alignment horizontal="left" vertical="center"/>
    </xf>
    <xf borderId="10" fillId="3" fontId="4" numFmtId="164" xfId="0" applyAlignment="1" applyBorder="1" applyFont="1" applyNumberFormat="1">
      <alignment horizontal="left"/>
    </xf>
    <xf borderId="0" fillId="0" fontId="2" numFmtId="4" xfId="0" applyAlignment="1" applyFont="1" applyNumberFormat="1">
      <alignment horizontal="left"/>
    </xf>
    <xf borderId="0" fillId="0" fontId="2" numFmtId="165" xfId="0" applyAlignment="1" applyFont="1" applyNumberFormat="1">
      <alignment horizontal="left"/>
    </xf>
    <xf borderId="0" fillId="0" fontId="2" numFmtId="166" xfId="0" applyAlignment="1" applyFont="1" applyNumberFormat="1">
      <alignment horizontal="left"/>
    </xf>
    <xf borderId="0" fillId="0" fontId="8" numFmtId="165" xfId="0" applyAlignment="1" applyFont="1" applyNumberFormat="1">
      <alignment horizontal="left" vertical="center"/>
    </xf>
    <xf borderId="0" fillId="0" fontId="13" numFmtId="4" xfId="0" applyAlignment="1" applyFont="1" applyNumberFormat="1">
      <alignment horizontal="right" shrinkToFit="0" vertical="center" wrapText="1"/>
    </xf>
    <xf borderId="0" fillId="3" fontId="8" numFmtId="0" xfId="0" applyAlignment="1" applyFont="1">
      <alignment readingOrder="0"/>
    </xf>
    <xf borderId="0" fillId="3" fontId="14" numFmtId="0" xfId="0" applyAlignment="1" applyFont="1">
      <alignment horizontal="center" vertical="center"/>
    </xf>
    <xf borderId="0" fillId="3" fontId="15" numFmtId="0" xfId="0" applyFont="1"/>
    <xf borderId="0" fillId="3" fontId="8" numFmtId="0" xfId="0" applyFont="1"/>
    <xf borderId="0" fillId="3" fontId="14" numFmtId="0" xfId="0" applyAlignment="1" applyFont="1">
      <alignment horizontal="center" readingOrder="0" shrinkToFit="0" vertical="center" wrapText="0"/>
    </xf>
    <xf borderId="2" fillId="0" fontId="8" numFmtId="0" xfId="0" applyBorder="1" applyFont="1"/>
    <xf borderId="3" fillId="14" fontId="14" numFmtId="0" xfId="0" applyAlignment="1" applyBorder="1" applyFill="1" applyFont="1">
      <alignment horizontal="center" vertical="center"/>
    </xf>
    <xf borderId="3" fillId="14" fontId="14" numFmtId="0" xfId="0" applyAlignment="1" applyBorder="1" applyFont="1">
      <alignment horizontal="center" readingOrder="0" shrinkToFit="0" vertical="center" wrapText="0"/>
    </xf>
    <xf borderId="3" fillId="14" fontId="14" numFmtId="0" xfId="0" applyAlignment="1" applyBorder="1" applyFont="1">
      <alignment horizontal="center" shrinkToFit="0" vertical="center" wrapText="1"/>
    </xf>
    <xf borderId="3" fillId="14" fontId="14" numFmtId="0" xfId="0" applyAlignment="1" applyBorder="1" applyFont="1">
      <alignment horizontal="center" readingOrder="0" shrinkToFit="0" vertical="center" wrapText="1"/>
    </xf>
    <xf borderId="2" fillId="15" fontId="16" numFmtId="0" xfId="0" applyAlignment="1" applyBorder="1" applyFill="1" applyFont="1">
      <alignment readingOrder="0" shrinkToFit="0" wrapText="1"/>
    </xf>
    <xf borderId="2" fillId="0" fontId="4" numFmtId="0" xfId="0" applyBorder="1" applyFont="1"/>
    <xf borderId="2" fillId="16" fontId="14" numFmtId="167" xfId="0" applyAlignment="1" applyBorder="1" applyFill="1" applyFont="1" applyNumberFormat="1">
      <alignment horizontal="right" shrinkToFit="0" vertical="center" wrapText="1"/>
    </xf>
    <xf borderId="2" fillId="0" fontId="8" numFmtId="4" xfId="0" applyBorder="1" applyFont="1" applyNumberFormat="1"/>
    <xf borderId="2" fillId="0" fontId="8" numFmtId="4" xfId="0" applyAlignment="1" applyBorder="1" applyFont="1" applyNumberFormat="1">
      <alignment readingOrder="0"/>
    </xf>
    <xf borderId="0" fillId="0" fontId="17" numFmtId="0" xfId="0" applyFont="1"/>
    <xf borderId="0" fillId="0" fontId="18" numFmtId="167" xfId="0" applyFont="1" applyNumberFormat="1"/>
    <xf borderId="0" fillId="0" fontId="15" numFmtId="0" xfId="0" applyAlignment="1" applyFont="1">
      <alignment readingOrder="0"/>
    </xf>
    <xf borderId="3" fillId="14" fontId="14" numFmtId="0" xfId="0" applyAlignment="1" applyBorder="1" applyFont="1">
      <alignment horizontal="center" readingOrder="0" vertical="center"/>
    </xf>
    <xf borderId="0" fillId="0" fontId="8" numFmtId="0" xfId="0" applyFont="1"/>
    <xf borderId="10" fillId="15" fontId="19" numFmtId="164" xfId="0" applyAlignment="1" applyBorder="1" applyFont="1" applyNumberFormat="1">
      <alignment horizontal="center" shrinkToFit="0" vertical="center" wrapText="1"/>
    </xf>
    <xf borderId="9" fillId="15" fontId="19" numFmtId="164" xfId="0" applyAlignment="1" applyBorder="1" applyFont="1" applyNumberFormat="1">
      <alignment horizontal="center" shrinkToFit="0" vertical="center" wrapText="1"/>
    </xf>
    <xf borderId="24" fillId="15" fontId="19" numFmtId="164" xfId="0" applyAlignment="1" applyBorder="1" applyFont="1" applyNumberFormat="1">
      <alignment horizontal="center" shrinkToFit="0" vertical="center" wrapText="1"/>
    </xf>
    <xf borderId="24" fillId="2" fontId="6" numFmtId="164" xfId="0" applyAlignment="1" applyBorder="1" applyFont="1" applyNumberFormat="1">
      <alignment horizontal="center" shrinkToFit="0" vertical="center" wrapText="1"/>
    </xf>
    <xf borderId="9" fillId="2" fontId="6" numFmtId="164" xfId="0" applyAlignment="1" applyBorder="1" applyFont="1" applyNumberFormat="1">
      <alignment horizontal="center" shrinkToFit="0" vertical="center" wrapText="1"/>
    </xf>
    <xf borderId="18" fillId="2" fontId="6" numFmtId="164" xfId="0" applyAlignment="1" applyBorder="1" applyFont="1" applyNumberFormat="1">
      <alignment horizontal="center" readingOrder="0" shrinkToFit="0" vertical="center" wrapText="1"/>
    </xf>
    <xf borderId="18" fillId="2" fontId="6" numFmtId="164" xfId="0" applyAlignment="1" applyBorder="1" applyFont="1" applyNumberFormat="1">
      <alignment horizontal="center" shrinkToFit="0" vertical="center" wrapText="1"/>
    </xf>
    <xf borderId="2" fillId="4" fontId="8" numFmtId="164" xfId="0" applyAlignment="1" applyBorder="1" applyFont="1" applyNumberFormat="1">
      <alignment horizontal="center" shrinkToFit="0" vertical="center" wrapText="1"/>
    </xf>
    <xf borderId="2" fillId="4" fontId="8" numFmtId="164" xfId="0" applyAlignment="1" applyBorder="1" applyFont="1" applyNumberFormat="1">
      <alignment horizontal="center" readingOrder="0" shrinkToFit="0" vertical="center" wrapText="1"/>
    </xf>
    <xf borderId="2" fillId="17" fontId="8" numFmtId="164" xfId="0" applyAlignment="1" applyBorder="1" applyFill="1" applyFont="1" applyNumberFormat="1">
      <alignment horizontal="center" readingOrder="0" shrinkToFit="0" vertical="center" wrapText="1"/>
    </xf>
    <xf borderId="2" fillId="17" fontId="8" numFmtId="164" xfId="0" applyAlignment="1" applyBorder="1" applyFont="1" applyNumberFormat="1">
      <alignment horizontal="center" shrinkToFit="0" vertical="center" wrapText="1"/>
    </xf>
    <xf borderId="2" fillId="17" fontId="4" numFmtId="164" xfId="0" applyAlignment="1" applyBorder="1" applyFont="1" applyNumberFormat="1">
      <alignment horizontal="center" shrinkToFit="0" vertical="center" wrapText="1"/>
    </xf>
    <xf borderId="2" fillId="18" fontId="8" numFmtId="164" xfId="0" applyAlignment="1" applyBorder="1" applyFill="1" applyFont="1" applyNumberFormat="1">
      <alignment horizontal="center" shrinkToFit="0" vertical="center" wrapText="1"/>
    </xf>
    <xf borderId="2" fillId="19" fontId="8" numFmtId="164" xfId="0" applyAlignment="1" applyBorder="1" applyFill="1" applyFont="1" applyNumberFormat="1">
      <alignment horizontal="center" shrinkToFit="0" vertical="center" wrapText="1"/>
    </xf>
    <xf borderId="2" fillId="19" fontId="4" numFmtId="164" xfId="0" applyAlignment="1" applyBorder="1" applyFont="1" applyNumberFormat="1">
      <alignment horizontal="center" shrinkToFit="0" vertical="center" wrapText="1"/>
    </xf>
    <xf borderId="10" fillId="9" fontId="8" numFmtId="167" xfId="0" applyBorder="1" applyFont="1" applyNumberFormat="1"/>
    <xf borderId="15" fillId="20" fontId="8" numFmtId="165" xfId="0" applyAlignment="1" applyBorder="1" applyFill="1" applyFont="1" applyNumberFormat="1">
      <alignment horizontal="right" vertical="center"/>
    </xf>
    <xf borderId="2" fillId="20" fontId="8" numFmtId="166" xfId="0" applyBorder="1" applyFont="1" applyNumberFormat="1"/>
    <xf borderId="15" fillId="9" fontId="8" numFmtId="165" xfId="0" applyAlignment="1" applyBorder="1" applyFont="1" applyNumberFormat="1">
      <alignment horizontal="right" vertical="center"/>
    </xf>
    <xf borderId="2" fillId="9" fontId="8" numFmtId="165" xfId="0" applyBorder="1" applyFont="1" applyNumberFormat="1"/>
    <xf borderId="2" fillId="9" fontId="8" numFmtId="167" xfId="0" applyBorder="1" applyFont="1" applyNumberFormat="1"/>
    <xf borderId="10" fillId="9" fontId="14" numFmtId="167" xfId="0" applyBorder="1" applyFont="1" applyNumberFormat="1"/>
    <xf borderId="2" fillId="9" fontId="8" numFmtId="165" xfId="0" applyAlignment="1" applyBorder="1" applyFont="1" applyNumberFormat="1">
      <alignment horizontal="right" vertical="center"/>
    </xf>
    <xf borderId="2" fillId="0" fontId="8" numFmtId="165" xfId="0" applyAlignment="1" applyBorder="1" applyFont="1" applyNumberFormat="1">
      <alignment horizontal="right" vertical="center"/>
    </xf>
    <xf borderId="16" fillId="0" fontId="8" numFmtId="165" xfId="0" applyAlignment="1" applyBorder="1" applyFont="1" applyNumberFormat="1">
      <alignment horizontal="right" vertical="center"/>
    </xf>
    <xf borderId="16" fillId="0" fontId="8" numFmtId="165" xfId="0" applyBorder="1" applyFont="1" applyNumberFormat="1"/>
    <xf borderId="2" fillId="0" fontId="8" numFmtId="164" xfId="0" applyBorder="1" applyFont="1" applyNumberFormat="1"/>
    <xf borderId="2" fillId="20" fontId="8" numFmtId="167" xfId="0" applyBorder="1" applyFont="1" applyNumberFormat="1"/>
    <xf borderId="15" fillId="20" fontId="8" numFmtId="167" xfId="0" applyBorder="1" applyFont="1" applyNumberFormat="1"/>
    <xf borderId="2" fillId="9" fontId="12" numFmtId="167" xfId="0" applyBorder="1" applyFont="1" applyNumberFormat="1"/>
    <xf borderId="2" fillId="0" fontId="8" numFmtId="167" xfId="0" applyBorder="1" applyFont="1" applyNumberFormat="1"/>
    <xf borderId="16" fillId="0" fontId="8" numFmtId="167" xfId="0" applyBorder="1" applyFont="1" applyNumberFormat="1"/>
    <xf borderId="2" fillId="0" fontId="8" numFmtId="166" xfId="0" applyBorder="1" applyFont="1" applyNumberFormat="1"/>
    <xf borderId="2" fillId="0" fontId="12" numFmtId="167" xfId="0" applyBorder="1" applyFont="1" applyNumberFormat="1"/>
    <xf borderId="2" fillId="20" fontId="8" numFmtId="165" xfId="0" applyBorder="1" applyFont="1" applyNumberFormat="1"/>
    <xf borderId="15" fillId="20" fontId="8" numFmtId="165" xfId="0" applyBorder="1" applyFont="1" applyNumberFormat="1"/>
    <xf borderId="2" fillId="11" fontId="8" numFmtId="167" xfId="0" applyBorder="1" applyFont="1" applyNumberFormat="1"/>
    <xf borderId="2" fillId="11" fontId="8" numFmtId="165" xfId="0" applyBorder="1" applyFont="1" applyNumberFormat="1"/>
    <xf borderId="15" fillId="11" fontId="8" numFmtId="165" xfId="0" applyBorder="1" applyFont="1" applyNumberFormat="1"/>
    <xf borderId="15" fillId="11" fontId="8" numFmtId="165" xfId="0" applyAlignment="1" applyBorder="1" applyFont="1" applyNumberFormat="1">
      <alignment horizontal="right" vertical="center"/>
    </xf>
    <xf borderId="2" fillId="11" fontId="8" numFmtId="166" xfId="0" applyBorder="1" applyFont="1" applyNumberFormat="1"/>
    <xf borderId="2" fillId="0" fontId="8" numFmtId="165" xfId="0" applyBorder="1" applyFont="1" applyNumberFormat="1"/>
    <xf borderId="2" fillId="9" fontId="8" numFmtId="165" xfId="0" applyAlignment="1" applyBorder="1" applyFont="1" applyNumberFormat="1">
      <alignment horizontal="right"/>
    </xf>
    <xf borderId="2" fillId="9" fontId="14" numFmtId="167" xfId="0" applyAlignment="1" applyBorder="1" applyFont="1" applyNumberFormat="1">
      <alignment horizontal="right" vertical="center"/>
    </xf>
    <xf borderId="16" fillId="0" fontId="8" numFmtId="165" xfId="0" applyAlignment="1" applyBorder="1" applyFont="1" applyNumberFormat="1">
      <alignment horizontal="right"/>
    </xf>
    <xf borderId="2" fillId="0" fontId="4" numFmtId="165" xfId="0" applyBorder="1" applyFont="1" applyNumberFormat="1"/>
    <xf borderId="2" fillId="9" fontId="8" numFmtId="165" xfId="0" applyAlignment="1" applyBorder="1" applyFont="1" applyNumberFormat="1">
      <alignment readingOrder="0"/>
    </xf>
    <xf borderId="2" fillId="9" fontId="8" numFmtId="165" xfId="0" applyAlignment="1" applyBorder="1" applyFont="1" applyNumberFormat="1">
      <alignment horizontal="right" readingOrder="0"/>
    </xf>
    <xf borderId="2" fillId="9" fontId="8" numFmtId="167" xfId="0" applyAlignment="1" applyBorder="1" applyFont="1" applyNumberFormat="1">
      <alignment readingOrder="0"/>
    </xf>
    <xf borderId="2" fillId="9" fontId="8" numFmtId="165" xfId="0" applyAlignment="1" applyBorder="1" applyFont="1" applyNumberFormat="1">
      <alignment horizontal="right" readingOrder="0" vertical="center"/>
    </xf>
    <xf borderId="16" fillId="0" fontId="8" numFmtId="168" xfId="0" applyAlignment="1" applyBorder="1" applyFont="1" applyNumberFormat="1">
      <alignment horizontal="right" readingOrder="0"/>
    </xf>
    <xf borderId="16" fillId="0" fontId="8" numFmtId="165" xfId="0" applyAlignment="1" applyBorder="1" applyFont="1" applyNumberFormat="1">
      <alignment readingOrder="0"/>
    </xf>
    <xf borderId="16" fillId="0" fontId="8" numFmtId="169" xfId="0" applyAlignment="1" applyBorder="1" applyFont="1" applyNumberFormat="1">
      <alignment readingOrder="0"/>
    </xf>
    <xf borderId="2" fillId="9" fontId="8" numFmtId="169" xfId="0" applyAlignment="1" applyBorder="1" applyFont="1" applyNumberFormat="1">
      <alignment readingOrder="0"/>
    </xf>
    <xf borderId="16" fillId="0" fontId="8" numFmtId="168" xfId="0" applyAlignment="1" applyBorder="1" applyFont="1" applyNumberFormat="1">
      <alignment horizontal="left" readingOrder="0"/>
    </xf>
    <xf borderId="16" fillId="3" fontId="8" numFmtId="165" xfId="0" applyAlignment="1" applyBorder="1" applyFont="1" applyNumberFormat="1">
      <alignment readingOrder="0"/>
    </xf>
    <xf borderId="2" fillId="3" fontId="8" numFmtId="165" xfId="0" applyAlignment="1" applyBorder="1" applyFont="1" applyNumberFormat="1">
      <alignment readingOrder="0"/>
    </xf>
    <xf borderId="2" fillId="16" fontId="8" numFmtId="165" xfId="0" applyAlignment="1" applyBorder="1" applyFont="1" applyNumberFormat="1">
      <alignment readingOrder="0"/>
    </xf>
    <xf borderId="2" fillId="21" fontId="8" numFmtId="165" xfId="0" applyAlignment="1" applyBorder="1" applyFill="1" applyFont="1" applyNumberFormat="1">
      <alignment readingOrder="0"/>
    </xf>
    <xf borderId="0" fillId="0" fontId="20" numFmtId="166" xfId="0" applyAlignment="1" applyFont="1" applyNumberFormat="1">
      <alignment horizontal="center" vertical="center"/>
    </xf>
    <xf borderId="2" fillId="0" fontId="20" numFmtId="166" xfId="0" applyAlignment="1" applyBorder="1" applyFont="1" applyNumberFormat="1">
      <alignment horizontal="center" vertical="center"/>
    </xf>
    <xf borderId="2" fillId="0" fontId="21" numFmtId="166" xfId="0" applyAlignment="1" applyBorder="1" applyFont="1" applyNumberFormat="1">
      <alignment horizontal="center" readingOrder="0" vertical="center"/>
    </xf>
    <xf borderId="2" fillId="0" fontId="20" numFmtId="165" xfId="0" applyAlignment="1" applyBorder="1" applyFont="1" applyNumberFormat="1">
      <alignment horizontal="center"/>
    </xf>
    <xf borderId="10" fillId="13" fontId="20" numFmtId="166" xfId="0" applyAlignment="1" applyBorder="1" applyFont="1" applyNumberFormat="1">
      <alignment horizontal="center" vertical="center"/>
    </xf>
    <xf borderId="10" fillId="13" fontId="10" numFmtId="166" xfId="0" applyAlignment="1" applyBorder="1" applyFont="1" applyNumberFormat="1">
      <alignment horizontal="center" vertical="center"/>
    </xf>
    <xf borderId="10" fillId="13" fontId="10" numFmtId="165" xfId="0" applyAlignment="1" applyBorder="1" applyFont="1" applyNumberFormat="1">
      <alignment horizontal="center"/>
    </xf>
    <xf borderId="10" fillId="3" fontId="4" numFmtId="166" xfId="0" applyAlignment="1" applyBorder="1" applyFont="1" applyNumberFormat="1">
      <alignment horizontal="center" vertical="center"/>
    </xf>
    <xf borderId="0" fillId="0" fontId="22" numFmtId="0" xfId="0" applyAlignment="1" applyFont="1">
      <alignment readingOrder="0"/>
    </xf>
    <xf borderId="0" fillId="21" fontId="8" numFmtId="0" xfId="0" applyAlignment="1" applyFont="1">
      <alignment readingOrder="0"/>
    </xf>
    <xf borderId="0" fillId="21" fontId="8" numFmtId="0" xfId="0" applyFont="1"/>
    <xf borderId="0" fillId="21" fontId="8" numFmtId="165" xfId="0" applyFont="1" applyNumberFormat="1"/>
    <xf borderId="0" fillId="0" fontId="8" numFmtId="165" xfId="0" applyAlignment="1" applyFont="1" applyNumberFormat="1">
      <alignment readingOrder="0"/>
    </xf>
    <xf borderId="0" fillId="0" fontId="8" numFmtId="165" xfId="0" applyFont="1" applyNumberFormat="1"/>
    <xf borderId="25" fillId="16" fontId="13" numFmtId="4" xfId="0" applyAlignment="1" applyBorder="1" applyFont="1" applyNumberFormat="1">
      <alignment horizontal="right" readingOrder="0"/>
    </xf>
    <xf borderId="0" fillId="0" fontId="8" numFmtId="167" xfId="0" applyFont="1" applyNumberFormat="1"/>
    <xf borderId="0" fillId="16" fontId="13" numFmtId="0" xfId="0" applyFont="1"/>
    <xf borderId="0" fillId="0" fontId="4" numFmtId="0" xfId="0" applyAlignment="1" applyFont="1">
      <alignment horizontal="center" vertical="center"/>
    </xf>
    <xf borderId="26" fillId="3" fontId="4" numFmtId="0" xfId="0" applyAlignment="1" applyBorder="1" applyFont="1">
      <alignment horizontal="center" vertical="center"/>
    </xf>
    <xf borderId="27" fillId="0" fontId="5" numFmtId="0" xfId="0" applyBorder="1" applyFont="1"/>
    <xf borderId="26" fillId="22" fontId="4" numFmtId="0" xfId="0" applyAlignment="1" applyBorder="1" applyFill="1" applyFont="1">
      <alignment horizontal="center" vertical="center"/>
    </xf>
    <xf borderId="28" fillId="0" fontId="5" numFmtId="0" xfId="0" applyBorder="1" applyFont="1"/>
    <xf borderId="0" fillId="23" fontId="4" numFmtId="0" xfId="0" applyAlignment="1" applyFill="1" applyFont="1">
      <alignment horizontal="center" readingOrder="0"/>
    </xf>
    <xf borderId="9" fillId="2" fontId="4" numFmtId="0" xfId="0" applyAlignment="1" applyBorder="1" applyFont="1">
      <alignment horizontal="center" vertical="center"/>
    </xf>
    <xf borderId="16" fillId="2" fontId="4" numFmtId="0" xfId="0" applyAlignment="1" applyBorder="1" applyFont="1">
      <alignment horizontal="center" shrinkToFit="0" vertical="center" wrapText="1"/>
    </xf>
    <xf borderId="29" fillId="2" fontId="4" numFmtId="164" xfId="0" applyAlignment="1" applyBorder="1" applyFont="1" applyNumberFormat="1">
      <alignment horizontal="center" shrinkToFit="0" vertical="center" wrapText="1"/>
    </xf>
    <xf borderId="30" fillId="0" fontId="5" numFmtId="0" xfId="0" applyBorder="1" applyFont="1"/>
    <xf borderId="31" fillId="0" fontId="5" numFmtId="0" xfId="0" applyBorder="1" applyFont="1"/>
    <xf borderId="32" fillId="2" fontId="4" numFmtId="0" xfId="0" applyAlignment="1" applyBorder="1" applyFont="1">
      <alignment horizontal="center" readingOrder="0" shrinkToFit="0" vertical="center" wrapText="1"/>
    </xf>
    <xf borderId="32" fillId="2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4" fontId="4" numFmtId="0" xfId="0" applyAlignment="1" applyBorder="1" applyFont="1">
      <alignment horizontal="center" shrinkToFit="0" vertical="center" wrapText="1"/>
    </xf>
    <xf borderId="2" fillId="4" fontId="4" numFmtId="164" xfId="0" applyAlignment="1" applyBorder="1" applyFont="1" applyNumberFormat="1">
      <alignment horizontal="center" shrinkToFit="0" vertical="center" wrapText="1"/>
    </xf>
    <xf borderId="2" fillId="4" fontId="4" numFmtId="0" xfId="0" applyAlignment="1" applyBorder="1" applyFont="1">
      <alignment horizontal="center" readingOrder="0" shrinkToFit="0" vertical="center" wrapText="1"/>
    </xf>
    <xf borderId="2" fillId="4" fontId="8" numFmtId="0" xfId="0" applyAlignment="1" applyBorder="1" applyFont="1">
      <alignment horizontal="center" vertical="center"/>
    </xf>
    <xf borderId="17" fillId="0" fontId="8" numFmtId="0" xfId="0" applyAlignment="1" applyBorder="1" applyFont="1">
      <alignment horizontal="center"/>
    </xf>
    <xf borderId="22" fillId="0" fontId="8" numFmtId="170" xfId="0" applyAlignment="1" applyBorder="1" applyFont="1" applyNumberFormat="1">
      <alignment vertical="center"/>
    </xf>
    <xf borderId="15" fillId="0" fontId="8" numFmtId="170" xfId="0" applyAlignment="1" applyBorder="1" applyFont="1" applyNumberFormat="1">
      <alignment vertical="center"/>
    </xf>
    <xf borderId="15" fillId="0" fontId="8" numFmtId="167" xfId="0" applyAlignment="1" applyBorder="1" applyFont="1" applyNumberFormat="1">
      <alignment vertical="center"/>
    </xf>
    <xf borderId="15" fillId="0" fontId="8" numFmtId="166" xfId="0" applyAlignment="1" applyBorder="1" applyFont="1" applyNumberFormat="1">
      <alignment horizontal="left" readingOrder="0" vertical="center"/>
    </xf>
    <xf borderId="15" fillId="0" fontId="8" numFmtId="166" xfId="0" applyAlignment="1" applyBorder="1" applyFont="1" applyNumberFormat="1">
      <alignment horizontal="left" vertical="center"/>
    </xf>
    <xf borderId="15" fillId="0" fontId="8" numFmtId="165" xfId="0" applyBorder="1" applyFont="1" applyNumberFormat="1"/>
    <xf borderId="15" fillId="0" fontId="8" numFmtId="165" xfId="0" applyAlignment="1" applyBorder="1" applyFont="1" applyNumberFormat="1">
      <alignment readingOrder="0"/>
    </xf>
    <xf borderId="15" fillId="0" fontId="8" numFmtId="166" xfId="0" applyBorder="1" applyFont="1" applyNumberFormat="1"/>
    <xf borderId="15" fillId="0" fontId="8" numFmtId="166" xfId="0" applyAlignment="1" applyBorder="1" applyFont="1" applyNumberFormat="1">
      <alignment readingOrder="0"/>
    </xf>
    <xf borderId="2" fillId="0" fontId="8" numFmtId="170" xfId="0" applyAlignment="1" applyBorder="1" applyFont="1" applyNumberFormat="1">
      <alignment horizontal="right" vertical="center"/>
    </xf>
    <xf borderId="17" fillId="0" fontId="8" numFmtId="170" xfId="0" applyAlignment="1" applyBorder="1" applyFont="1" applyNumberFormat="1">
      <alignment horizontal="right" vertical="center"/>
    </xf>
    <xf borderId="2" fillId="0" fontId="8" numFmtId="166" xfId="0" applyAlignment="1" applyBorder="1" applyFont="1" applyNumberFormat="1">
      <alignment readingOrder="0"/>
    </xf>
    <xf borderId="22" fillId="0" fontId="8" numFmtId="170" xfId="0" applyBorder="1" applyFont="1" applyNumberFormat="1"/>
    <xf borderId="15" fillId="0" fontId="8" numFmtId="170" xfId="0" applyBorder="1" applyFont="1" applyNumberFormat="1"/>
    <xf borderId="2" fillId="0" fontId="8" numFmtId="165" xfId="0" applyAlignment="1" applyBorder="1" applyFont="1" applyNumberFormat="1">
      <alignment horizontal="right" readingOrder="0" vertical="center"/>
    </xf>
    <xf borderId="16" fillId="0" fontId="8" numFmtId="165" xfId="0" applyAlignment="1" applyBorder="1" applyFont="1" applyNumberFormat="1">
      <alignment horizontal="right" readingOrder="0" vertical="center"/>
    </xf>
    <xf borderId="15" fillId="0" fontId="8" numFmtId="165" xfId="0" applyAlignment="1" applyBorder="1" applyFont="1" applyNumberFormat="1">
      <alignment horizontal="right" vertical="center"/>
    </xf>
    <xf borderId="2" fillId="3" fontId="8" numFmtId="165" xfId="0" applyAlignment="1" applyBorder="1" applyFont="1" applyNumberFormat="1">
      <alignment horizontal="right" vertical="center"/>
    </xf>
    <xf borderId="2" fillId="0" fontId="8" numFmtId="166" xfId="0" applyAlignment="1" applyBorder="1" applyFont="1" applyNumberFormat="1">
      <alignment horizontal="left" vertical="center"/>
    </xf>
    <xf borderId="2" fillId="0" fontId="8" numFmtId="170" xfId="0" applyBorder="1" applyFont="1" applyNumberFormat="1"/>
    <xf borderId="15" fillId="3" fontId="8" numFmtId="165" xfId="0" applyAlignment="1" applyBorder="1" applyFont="1" applyNumberFormat="1">
      <alignment horizontal="left" vertical="center"/>
    </xf>
    <xf borderId="16" fillId="0" fontId="8" numFmtId="165" xfId="0" applyAlignment="1" applyBorder="1" applyFont="1" applyNumberFormat="1">
      <alignment horizontal="left" readingOrder="0" vertical="center"/>
    </xf>
    <xf borderId="2" fillId="3" fontId="8" numFmtId="165" xfId="0" applyAlignment="1" applyBorder="1" applyFont="1" applyNumberFormat="1">
      <alignment horizontal="left" vertical="center"/>
    </xf>
    <xf borderId="15" fillId="0" fontId="8" numFmtId="170" xfId="0" applyAlignment="1" applyBorder="1" applyFont="1" applyNumberFormat="1">
      <alignment readingOrder="0"/>
    </xf>
    <xf borderId="15" fillId="0" fontId="8" numFmtId="165" xfId="0" applyAlignment="1" applyBorder="1" applyFont="1" applyNumberFormat="1">
      <alignment horizontal="left" readingOrder="0" vertical="center"/>
    </xf>
    <xf borderId="15" fillId="3" fontId="8" numFmtId="166" xfId="0" applyAlignment="1" applyBorder="1" applyFont="1" applyNumberFormat="1">
      <alignment horizontal="left" vertical="center"/>
    </xf>
    <xf borderId="16" fillId="0" fontId="8" numFmtId="166" xfId="0" applyAlignment="1" applyBorder="1" applyFont="1" applyNumberFormat="1">
      <alignment horizontal="left" readingOrder="0" vertical="center"/>
    </xf>
    <xf borderId="15" fillId="3" fontId="8" numFmtId="166" xfId="0" applyAlignment="1" applyBorder="1" applyFont="1" applyNumberFormat="1">
      <alignment horizontal="left" readingOrder="0" vertical="center"/>
    </xf>
    <xf borderId="33" fillId="16" fontId="21" numFmtId="168" xfId="0" applyAlignment="1" applyBorder="1" applyFont="1" applyNumberFormat="1">
      <alignment horizontal="right" readingOrder="0"/>
    </xf>
    <xf borderId="15" fillId="0" fontId="8" numFmtId="168" xfId="0" applyAlignment="1" applyBorder="1" applyFont="1" applyNumberFormat="1">
      <alignment readingOrder="0"/>
    </xf>
    <xf borderId="2" fillId="16" fontId="21" numFmtId="168" xfId="0" applyAlignment="1" applyBorder="1" applyFont="1" applyNumberFormat="1">
      <alignment horizontal="right"/>
    </xf>
    <xf borderId="28" fillId="3" fontId="4" numFmtId="0" xfId="0" applyAlignment="1" applyBorder="1" applyFont="1">
      <alignment horizontal="center" vertical="center"/>
    </xf>
    <xf borderId="10" fillId="13" fontId="10" numFmtId="0" xfId="0" applyAlignment="1" applyBorder="1" applyFont="1">
      <alignment horizontal="center"/>
    </xf>
    <xf borderId="10" fillId="13" fontId="10" numFmtId="170" xfId="0" applyAlignment="1" applyBorder="1" applyFont="1" applyNumberFormat="1">
      <alignment vertical="center"/>
    </xf>
    <xf borderId="10" fillId="13" fontId="10" numFmtId="166" xfId="0" applyAlignment="1" applyBorder="1" applyFont="1" applyNumberFormat="1">
      <alignment horizontal="center"/>
    </xf>
    <xf borderId="34" fillId="13" fontId="10" numFmtId="167" xfId="0" applyAlignment="1" applyBorder="1" applyFont="1" applyNumberFormat="1">
      <alignment horizontal="left"/>
    </xf>
    <xf borderId="10" fillId="3" fontId="4" numFmtId="165" xfId="0" applyAlignment="1" applyBorder="1" applyFont="1" applyNumberFormat="1">
      <alignment horizontal="center" vertical="center"/>
    </xf>
    <xf borderId="0" fillId="0" fontId="8" numFmtId="4" xfId="0" applyFont="1" applyNumberFormat="1"/>
    <xf borderId="0" fillId="0" fontId="8" numFmtId="0" xfId="0" applyAlignment="1" applyFont="1">
      <alignment horizontal="center"/>
    </xf>
    <xf borderId="0" fillId="0" fontId="22" numFmtId="0" xfId="0" applyAlignment="1" applyFont="1">
      <alignment horizontal="center" readingOrder="0"/>
    </xf>
    <xf borderId="0" fillId="0" fontId="8" numFmtId="169" xfId="0" applyFont="1" applyNumberFormat="1"/>
    <xf borderId="0" fillId="0" fontId="4" numFmtId="17" xfId="0" applyAlignment="1" applyFont="1" applyNumberFormat="1">
      <alignment horizontal="center"/>
    </xf>
    <xf borderId="0" fillId="0" fontId="8" numFmtId="166" xfId="0" applyAlignment="1" applyFont="1" applyNumberFormat="1">
      <alignment readingOrder="0"/>
    </xf>
    <xf borderId="0" fillId="0" fontId="8" numFmtId="4" xfId="0" applyAlignment="1" applyFont="1" applyNumberFormat="1">
      <alignment readingOrder="0"/>
    </xf>
    <xf borderId="0" fillId="0" fontId="23" numFmtId="166" xfId="0" applyAlignment="1" applyFont="1" applyNumberFormat="1">
      <alignment readingOrder="0"/>
    </xf>
    <xf borderId="0" fillId="0" fontId="8" numFmtId="168" xfId="0" applyFont="1" applyNumberFormat="1"/>
    <xf borderId="0" fillId="16" fontId="21" numFmtId="168" xfId="0" applyAlignment="1" applyFont="1" applyNumberFormat="1">
      <alignment horizontal="right" readingOrder="0"/>
    </xf>
    <xf borderId="0" fillId="16" fontId="13" numFmtId="4" xfId="0" applyAlignment="1" applyFont="1" applyNumberFormat="1">
      <alignment horizontal="right" readingOrder="0"/>
    </xf>
    <xf borderId="0" fillId="0" fontId="10" numFmtId="17" xfId="0" applyAlignment="1" applyFont="1" applyNumberFormat="1">
      <alignment horizontal="center"/>
    </xf>
    <xf borderId="35" fillId="0" fontId="24" numFmtId="0" xfId="0" applyAlignment="1" applyBorder="1" applyFont="1">
      <alignment horizontal="left" readingOrder="0" shrinkToFit="0" vertical="center" wrapText="0"/>
    </xf>
    <xf borderId="36" fillId="0" fontId="24" numFmtId="0" xfId="0" applyAlignment="1" applyBorder="1" applyFont="1">
      <alignment horizontal="left" readingOrder="0" shrinkToFit="0" vertical="center" wrapText="0"/>
    </xf>
    <xf borderId="36" fillId="0" fontId="24" numFmtId="170" xfId="0" applyAlignment="1" applyBorder="1" applyFont="1" applyNumberFormat="1">
      <alignment horizontal="left" readingOrder="0" shrinkToFit="0" vertical="center" wrapText="0"/>
    </xf>
    <xf borderId="36" fillId="0" fontId="24" numFmtId="0" xfId="0" applyAlignment="1" applyBorder="1" applyFont="1">
      <alignment horizontal="center" readingOrder="0" shrinkToFit="0" vertical="center" wrapText="0"/>
    </xf>
    <xf borderId="37" fillId="0" fontId="24" numFmtId="0" xfId="0" applyAlignment="1" applyBorder="1" applyFont="1">
      <alignment horizontal="left" readingOrder="0" shrinkToFit="0" vertical="center" wrapText="0"/>
    </xf>
    <xf borderId="0" fillId="0" fontId="15" numFmtId="0" xfId="0" applyAlignment="1" applyFont="1">
      <alignment horizontal="left"/>
    </xf>
    <xf borderId="2" fillId="0" fontId="25" numFmtId="0" xfId="0" applyAlignment="1" applyBorder="1" applyFont="1">
      <alignment horizontal="left" shrinkToFit="0" vertical="center" wrapText="0"/>
    </xf>
    <xf borderId="2" fillId="0" fontId="25" numFmtId="0" xfId="0" applyAlignment="1" applyBorder="1" applyFont="1">
      <alignment horizontal="left" shrinkToFit="0" vertical="center" wrapText="0"/>
    </xf>
    <xf borderId="2" fillId="0" fontId="26" numFmtId="0" xfId="0" applyAlignment="1" applyBorder="1" applyFont="1">
      <alignment horizontal="left" shrinkToFit="0" vertical="center" wrapText="0"/>
    </xf>
    <xf borderId="2" fillId="0" fontId="25" numFmtId="170" xfId="0" applyAlignment="1" applyBorder="1" applyFont="1" applyNumberFormat="1">
      <alignment horizontal="left" shrinkToFit="0" vertical="center" wrapText="0"/>
    </xf>
    <xf borderId="2" fillId="0" fontId="26" numFmtId="0" xfId="0" applyAlignment="1" applyBorder="1" applyFont="1">
      <alignment horizontal="center" shrinkToFit="0" vertical="center" wrapText="0"/>
    </xf>
    <xf borderId="2" fillId="0" fontId="26" numFmtId="171" xfId="0" applyAlignment="1" applyBorder="1" applyFont="1" applyNumberFormat="1">
      <alignment shrinkToFit="0" vertical="center" wrapText="1"/>
    </xf>
    <xf borderId="0" fillId="0" fontId="27" numFmtId="0" xfId="0" applyAlignment="1" applyFont="1">
      <alignment horizontal="left" readingOrder="0"/>
    </xf>
    <xf borderId="2" fillId="0" fontId="26" numFmtId="170" xfId="0" applyAlignment="1" applyBorder="1" applyFont="1" applyNumberFormat="1">
      <alignment horizontal="left" shrinkToFit="0" vertical="center" wrapText="1"/>
    </xf>
    <xf borderId="2" fillId="0" fontId="26" numFmtId="172" xfId="0" applyAlignment="1" applyBorder="1" applyFont="1" applyNumberFormat="1">
      <alignment horizontal="center" shrinkToFit="0" vertical="center" wrapText="0"/>
    </xf>
    <xf borderId="2" fillId="0" fontId="25" numFmtId="171" xfId="0" applyAlignment="1" applyBorder="1" applyFont="1" applyNumberFormat="1">
      <alignment shrinkToFit="0" vertical="center" wrapText="0"/>
    </xf>
    <xf borderId="2" fillId="0" fontId="26" numFmtId="170" xfId="0" applyAlignment="1" applyBorder="1" applyFont="1" applyNumberFormat="1">
      <alignment horizontal="left" shrinkToFit="0" vertical="center" wrapText="0"/>
    </xf>
    <xf borderId="2" fillId="0" fontId="25" numFmtId="172" xfId="0" applyAlignment="1" applyBorder="1" applyFont="1" applyNumberFormat="1">
      <alignment horizontal="center" shrinkToFit="0" vertical="center" wrapText="0"/>
    </xf>
    <xf borderId="2" fillId="0" fontId="25" numFmtId="0" xfId="0" applyAlignment="1" applyBorder="1" applyFont="1">
      <alignment horizontal="center" shrinkToFit="0" vertical="center" wrapText="0"/>
    </xf>
    <xf borderId="2" fillId="0" fontId="25" numFmtId="171" xfId="0" applyAlignment="1" applyBorder="1" applyFont="1" applyNumberFormat="1">
      <alignment readingOrder="0" shrinkToFit="0" vertical="center" wrapText="0"/>
    </xf>
    <xf borderId="2" fillId="0" fontId="25" numFmtId="170" xfId="0" applyAlignment="1" applyBorder="1" applyFont="1" applyNumberFormat="1">
      <alignment horizontal="center" shrinkToFit="0" vertical="center" wrapText="0"/>
    </xf>
    <xf borderId="2" fillId="24" fontId="25" numFmtId="0" xfId="0" applyAlignment="1" applyBorder="1" applyFill="1" applyFont="1">
      <alignment horizontal="center" shrinkToFit="0" vertical="center" wrapText="0"/>
    </xf>
    <xf borderId="2" fillId="6" fontId="25" numFmtId="0" xfId="0" applyAlignment="1" applyBorder="1" applyFont="1">
      <alignment horizontal="left" shrinkToFit="0" vertical="center" wrapText="0"/>
    </xf>
    <xf borderId="2" fillId="6" fontId="26" numFmtId="0" xfId="0" applyAlignment="1" applyBorder="1" applyFont="1">
      <alignment horizontal="left" shrinkToFit="0" vertical="center" wrapText="0"/>
    </xf>
    <xf borderId="2" fillId="6" fontId="26" numFmtId="170" xfId="0" applyAlignment="1" applyBorder="1" applyFont="1" applyNumberFormat="1">
      <alignment horizontal="left" shrinkToFit="0" vertical="center" wrapText="0"/>
    </xf>
    <xf borderId="2" fillId="6" fontId="25" numFmtId="172" xfId="0" applyAlignment="1" applyBorder="1" applyFont="1" applyNumberFormat="1">
      <alignment horizontal="center" shrinkToFit="0" vertical="center" wrapText="0"/>
    </xf>
    <xf borderId="2" fillId="0" fontId="25" numFmtId="0" xfId="0" applyAlignment="1" applyBorder="1" applyFont="1">
      <alignment horizontal="center" readingOrder="0" shrinkToFit="0" vertical="center" wrapText="0"/>
    </xf>
    <xf borderId="2" fillId="3" fontId="25" numFmtId="172" xfId="0" applyAlignment="1" applyBorder="1" applyFont="1" applyNumberFormat="1">
      <alignment horizontal="center" shrinkToFit="0" vertical="center" wrapText="0"/>
    </xf>
    <xf borderId="0" fillId="15" fontId="28" numFmtId="164" xfId="0" applyAlignment="1" applyFont="1" applyNumberFormat="1">
      <alignment horizontal="center" shrinkToFit="0" vertical="center" wrapText="1"/>
    </xf>
    <xf borderId="10" fillId="15" fontId="28" numFmtId="164" xfId="0" applyAlignment="1" applyBorder="1" applyFont="1" applyNumberFormat="1">
      <alignment horizontal="center" shrinkToFit="0" vertical="center" wrapText="1"/>
    </xf>
    <xf borderId="38" fillId="15" fontId="28" numFmtId="164" xfId="0" applyAlignment="1" applyBorder="1" applyFont="1" applyNumberFormat="1">
      <alignment horizontal="center" shrinkToFit="0" vertical="center" wrapText="1"/>
    </xf>
    <xf borderId="39" fillId="0" fontId="5" numFmtId="0" xfId="0" applyBorder="1" applyFont="1"/>
    <xf borderId="40" fillId="0" fontId="5" numFmtId="0" xfId="0" applyBorder="1" applyFont="1"/>
    <xf borderId="9" fillId="15" fontId="28" numFmtId="164" xfId="0" applyAlignment="1" applyBorder="1" applyFont="1" applyNumberFormat="1">
      <alignment horizontal="center" shrinkToFit="0" vertical="center" wrapText="1"/>
    </xf>
    <xf borderId="24" fillId="15" fontId="29" numFmtId="164" xfId="0" applyAlignment="1" applyBorder="1" applyFont="1" applyNumberFormat="1">
      <alignment horizontal="center" readingOrder="0" shrinkToFit="0" vertical="center" wrapText="1"/>
    </xf>
    <xf borderId="24" fillId="2" fontId="30" numFmtId="164" xfId="0" applyAlignment="1" applyBorder="1" applyFont="1" applyNumberFormat="1">
      <alignment horizontal="center" readingOrder="0" shrinkToFit="0" vertical="center" wrapText="1"/>
    </xf>
    <xf borderId="9" fillId="2" fontId="30" numFmtId="164" xfId="0" applyAlignment="1" applyBorder="1" applyFont="1" applyNumberFormat="1">
      <alignment horizontal="center" shrinkToFit="0" vertical="center" wrapText="1"/>
    </xf>
    <xf borderId="18" fillId="2" fontId="30" numFmtId="164" xfId="0" applyAlignment="1" applyBorder="1" applyFont="1" applyNumberFormat="1">
      <alignment horizontal="center" readingOrder="0" shrinkToFit="0" vertical="center" wrapText="1"/>
    </xf>
    <xf borderId="18" fillId="2" fontId="30" numFmtId="164" xfId="0" applyAlignment="1" applyBorder="1" applyFont="1" applyNumberFormat="1">
      <alignment horizontal="center" shrinkToFit="0" vertical="center" wrapText="1"/>
    </xf>
    <xf borderId="2" fillId="0" fontId="10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left" readingOrder="0" vertical="center"/>
    </xf>
    <xf borderId="2" fillId="4" fontId="31" numFmtId="164" xfId="0" applyAlignment="1" applyBorder="1" applyFont="1" applyNumberFormat="1">
      <alignment horizontal="center" readingOrder="0" shrinkToFit="0" vertical="center" wrapText="1"/>
    </xf>
    <xf borderId="2" fillId="17" fontId="31" numFmtId="164" xfId="0" applyAlignment="1" applyBorder="1" applyFont="1" applyNumberFormat="1">
      <alignment horizontal="center" readingOrder="0" shrinkToFit="0" vertical="center" wrapText="1"/>
    </xf>
    <xf borderId="2" fillId="17" fontId="31" numFmtId="164" xfId="0" applyAlignment="1" applyBorder="1" applyFont="1" applyNumberFormat="1">
      <alignment horizontal="center" shrinkToFit="0" vertical="center" wrapText="1"/>
    </xf>
    <xf borderId="2" fillId="17" fontId="6" numFmtId="164" xfId="0" applyAlignment="1" applyBorder="1" applyFont="1" applyNumberFormat="1">
      <alignment horizontal="center" shrinkToFit="0" vertical="center" wrapText="1"/>
    </xf>
    <xf borderId="2" fillId="18" fontId="31" numFmtId="164" xfId="0" applyAlignment="1" applyBorder="1" applyFont="1" applyNumberFormat="1">
      <alignment horizontal="center" shrinkToFit="0" vertical="center" wrapText="1"/>
    </xf>
    <xf borderId="2" fillId="18" fontId="6" numFmtId="164" xfId="0" applyAlignment="1" applyBorder="1" applyFont="1" applyNumberFormat="1">
      <alignment horizontal="center" readingOrder="0" shrinkToFit="0" vertical="center" wrapText="1"/>
    </xf>
    <xf borderId="2" fillId="19" fontId="31" numFmtId="164" xfId="0" applyAlignment="1" applyBorder="1" applyFont="1" applyNumberFormat="1">
      <alignment horizontal="center" shrinkToFit="0" vertical="center" wrapText="1"/>
    </xf>
    <xf borderId="2" fillId="19" fontId="6" numFmtId="164" xfId="0" applyAlignment="1" applyBorder="1" applyFont="1" applyNumberFormat="1">
      <alignment horizontal="center" shrinkToFit="0" vertical="center" wrapText="1"/>
    </xf>
    <xf borderId="2" fillId="4" fontId="31" numFmtId="164" xfId="0" applyAlignment="1" applyBorder="1" applyFont="1" applyNumberFormat="1">
      <alignment horizontal="center" shrinkToFit="0" vertical="center" wrapText="1"/>
    </xf>
    <xf borderId="16" fillId="0" fontId="4" numFmtId="0" xfId="0" applyAlignment="1" applyBorder="1" applyFont="1">
      <alignment readingOrder="0"/>
    </xf>
    <xf borderId="16" fillId="0" fontId="4" numFmtId="0" xfId="0" applyAlignment="1" applyBorder="1" applyFont="1">
      <alignment horizontal="left" readingOrder="0" vertical="center"/>
    </xf>
    <xf borderId="15" fillId="9" fontId="8" numFmtId="165" xfId="0" applyAlignment="1" applyBorder="1" applyFont="1" applyNumberFormat="1">
      <alignment horizontal="right" readingOrder="0" vertical="center"/>
    </xf>
    <xf borderId="15" fillId="20" fontId="8" numFmtId="165" xfId="0" applyAlignment="1" applyBorder="1" applyFont="1" applyNumberFormat="1">
      <alignment horizontal="right" readingOrder="0" vertical="center"/>
    </xf>
    <xf borderId="2" fillId="20" fontId="8" numFmtId="166" xfId="0" applyAlignment="1" applyBorder="1" applyFont="1" applyNumberFormat="1">
      <alignment readingOrder="0"/>
    </xf>
    <xf borderId="15" fillId="3" fontId="8" numFmtId="165" xfId="0" applyAlignment="1" applyBorder="1" applyFont="1" applyNumberFormat="1">
      <alignment horizontal="right" readingOrder="0" vertical="center"/>
    </xf>
    <xf borderId="16" fillId="0" fontId="3" numFmtId="17" xfId="0" applyBorder="1" applyFont="1" applyNumberFormat="1"/>
    <xf borderId="16" fillId="0" fontId="8" numFmtId="168" xfId="0" applyAlignment="1" applyBorder="1" applyFont="1" applyNumberFormat="1">
      <alignment horizontal="right" readingOrder="0" vertical="center"/>
    </xf>
    <xf borderId="16" fillId="0" fontId="8" numFmtId="168" xfId="0" applyAlignment="1" applyBorder="1" applyFont="1" applyNumberFormat="1">
      <alignment horizontal="right" vertical="center"/>
    </xf>
    <xf borderId="15" fillId="3" fontId="8" numFmtId="165" xfId="0" applyAlignment="1" applyBorder="1" applyFont="1" applyNumberFormat="1">
      <alignment horizontal="right" vertical="center"/>
    </xf>
    <xf borderId="2" fillId="20" fontId="8" numFmtId="167" xfId="0" applyAlignment="1" applyBorder="1" applyFont="1" applyNumberFormat="1">
      <alignment readingOrder="0"/>
    </xf>
    <xf borderId="2" fillId="9" fontId="12" numFmtId="167" xfId="0" applyAlignment="1" applyBorder="1" applyFont="1" applyNumberFormat="1">
      <alignment readingOrder="0"/>
    </xf>
    <xf borderId="2" fillId="0" fontId="8" numFmtId="167" xfId="0" applyAlignment="1" applyBorder="1" applyFont="1" applyNumberFormat="1">
      <alignment readingOrder="0"/>
    </xf>
    <xf borderId="16" fillId="0" fontId="8" numFmtId="167" xfId="0" applyAlignment="1" applyBorder="1" applyFont="1" applyNumberFormat="1">
      <alignment readingOrder="0"/>
    </xf>
    <xf borderId="2" fillId="3" fontId="8" numFmtId="165" xfId="0" applyBorder="1" applyFont="1" applyNumberFormat="1"/>
    <xf borderId="15" fillId="14" fontId="8" numFmtId="165" xfId="0" applyAlignment="1" applyBorder="1" applyFont="1" applyNumberFormat="1">
      <alignment horizontal="right" readingOrder="0" vertical="center"/>
    </xf>
    <xf borderId="2" fillId="0" fontId="8" numFmtId="165" xfId="0" applyAlignment="1" applyBorder="1" applyFont="1" applyNumberFormat="1">
      <alignment readingOrder="0"/>
    </xf>
    <xf borderId="2" fillId="0" fontId="4" numFmtId="165" xfId="0" applyAlignment="1" applyBorder="1" applyFont="1" applyNumberFormat="1">
      <alignment readingOrder="0" vertical="bottom"/>
    </xf>
    <xf borderId="2" fillId="0" fontId="4" numFmtId="165" xfId="0" applyAlignment="1" applyBorder="1" applyFont="1" applyNumberFormat="1">
      <alignment readingOrder="0"/>
    </xf>
    <xf borderId="2" fillId="0" fontId="3" numFmtId="165" xfId="0" applyAlignment="1" applyBorder="1" applyFont="1" applyNumberFormat="1">
      <alignment vertical="bottom"/>
    </xf>
    <xf borderId="2" fillId="12" fontId="8" numFmtId="165" xfId="0" applyAlignment="1" applyBorder="1" applyFont="1" applyNumberFormat="1">
      <alignment readingOrder="0"/>
    </xf>
    <xf borderId="0" fillId="0" fontId="3" numFmtId="166" xfId="0" applyFont="1" applyNumberFormat="1"/>
    <xf borderId="2" fillId="12" fontId="20" numFmtId="166" xfId="0" applyAlignment="1" applyBorder="1" applyFont="1" applyNumberFormat="1">
      <alignment horizontal="center" vertical="center"/>
    </xf>
    <xf borderId="2" fillId="20" fontId="20" numFmtId="166" xfId="0" applyAlignment="1" applyBorder="1" applyFont="1" applyNumberFormat="1">
      <alignment horizontal="center" vertical="center"/>
    </xf>
    <xf borderId="2" fillId="12" fontId="21" numFmtId="166" xfId="0" applyAlignment="1" applyBorder="1" applyFont="1" applyNumberFormat="1">
      <alignment horizontal="center" readingOrder="0" vertical="center"/>
    </xf>
    <xf borderId="2" fillId="12" fontId="20" numFmtId="165" xfId="0" applyAlignment="1" applyBorder="1" applyFont="1" applyNumberFormat="1">
      <alignment horizontal="center"/>
    </xf>
    <xf borderId="0" fillId="0" fontId="20" numFmtId="166" xfId="0" applyAlignment="1" applyFont="1" applyNumberFormat="1">
      <alignment horizontal="center" readingOrder="0" vertical="center"/>
    </xf>
    <xf borderId="10" fillId="13" fontId="3" numFmtId="166" xfId="0" applyBorder="1" applyFont="1" applyNumberFormat="1"/>
    <xf borderId="0" fillId="0" fontId="6" numFmtId="0" xfId="0" applyAlignment="1" applyFont="1">
      <alignment horizontal="center" vertical="center"/>
    </xf>
    <xf borderId="26" fillId="3" fontId="6" numFmtId="0" xfId="0" applyAlignment="1" applyBorder="1" applyFont="1">
      <alignment horizontal="center" readingOrder="0" vertical="center"/>
    </xf>
    <xf borderId="26" fillId="22" fontId="6" numFmtId="0" xfId="0" applyAlignment="1" applyBorder="1" applyFont="1">
      <alignment horizontal="center" vertical="center"/>
    </xf>
    <xf borderId="0" fillId="23" fontId="6" numFmtId="0" xfId="0" applyAlignment="1" applyFont="1">
      <alignment horizontal="center" readingOrder="0"/>
    </xf>
    <xf borderId="0" fillId="0" fontId="23" numFmtId="0" xfId="0" applyFont="1"/>
    <xf borderId="9" fillId="2" fontId="30" numFmtId="0" xfId="0" applyAlignment="1" applyBorder="1" applyFont="1">
      <alignment horizontal="center" vertical="center"/>
    </xf>
    <xf borderId="16" fillId="2" fontId="30" numFmtId="0" xfId="0" applyAlignment="1" applyBorder="1" applyFont="1">
      <alignment horizontal="center" shrinkToFit="0" vertical="center" wrapText="1"/>
    </xf>
    <xf borderId="29" fillId="2" fontId="30" numFmtId="164" xfId="0" applyAlignment="1" applyBorder="1" applyFont="1" applyNumberFormat="1">
      <alignment horizontal="center" readingOrder="0" shrinkToFit="0" vertical="center" wrapText="1"/>
    </xf>
    <xf borderId="32" fillId="2" fontId="30" numFmtId="0" xfId="0" applyAlignment="1" applyBorder="1" applyFont="1">
      <alignment horizontal="center" shrinkToFit="0" vertical="center" wrapText="1"/>
    </xf>
    <xf borderId="32" fillId="2" fontId="30" numFmtId="0" xfId="0" applyAlignment="1" applyBorder="1" applyFont="1">
      <alignment horizontal="center" readingOrder="0" shrinkToFit="0" vertical="center" wrapText="1"/>
    </xf>
    <xf borderId="32" fillId="2" fontId="32" numFmtId="0" xfId="0" applyAlignment="1" applyBorder="1" applyFont="1">
      <alignment horizontal="center" readingOrder="0" shrinkToFit="0" vertical="center" wrapText="1"/>
    </xf>
    <xf borderId="9" fillId="2" fontId="30" numFmtId="0" xfId="0" applyAlignment="1" applyBorder="1" applyFont="1">
      <alignment horizontal="center" shrinkToFit="0" vertical="center" wrapText="1"/>
    </xf>
    <xf borderId="9" fillId="2" fontId="30" numFmtId="0" xfId="0" applyAlignment="1" applyBorder="1" applyFont="1">
      <alignment horizontal="center" readingOrder="0" shrinkToFit="0" vertical="center" wrapText="1"/>
    </xf>
    <xf borderId="2" fillId="2" fontId="30" numFmtId="0" xfId="0" applyAlignment="1" applyBorder="1" applyFont="1">
      <alignment horizontal="center" shrinkToFit="0" vertical="center" wrapText="1"/>
    </xf>
    <xf borderId="10" fillId="3" fontId="30" numFmtId="0" xfId="0" applyAlignment="1" applyBorder="1" applyFont="1">
      <alignment horizontal="center" vertical="center"/>
    </xf>
    <xf borderId="0" fillId="0" fontId="33" numFmtId="0" xfId="0" applyFont="1"/>
    <xf borderId="2" fillId="4" fontId="34" numFmtId="0" xfId="0" applyAlignment="1" applyBorder="1" applyFont="1">
      <alignment horizontal="center" shrinkToFit="0" vertical="center" wrapText="1"/>
    </xf>
    <xf borderId="2" fillId="4" fontId="34" numFmtId="164" xfId="0" applyAlignment="1" applyBorder="1" applyFont="1" applyNumberFormat="1">
      <alignment horizontal="center" shrinkToFit="0" vertical="center" wrapText="1"/>
    </xf>
    <xf borderId="2" fillId="4" fontId="34" numFmtId="0" xfId="0" applyAlignment="1" applyBorder="1" applyFont="1">
      <alignment horizontal="center" readingOrder="0" shrinkToFit="0" vertical="center" wrapText="1"/>
    </xf>
    <xf borderId="2" fillId="4" fontId="35" numFmtId="0" xfId="0" applyAlignment="1" applyBorder="1" applyFont="1">
      <alignment horizontal="center" vertical="center"/>
    </xf>
    <xf borderId="10" fillId="3" fontId="34" numFmtId="0" xfId="0" applyAlignment="1" applyBorder="1" applyFont="1">
      <alignment horizontal="center" vertical="center"/>
    </xf>
    <xf borderId="0" fillId="0" fontId="36" numFmtId="0" xfId="0" applyFont="1"/>
    <xf borderId="16" fillId="0" fontId="6" numFmtId="0" xfId="0" applyAlignment="1" applyBorder="1" applyFont="1">
      <alignment horizontal="left" readingOrder="0" vertical="center"/>
    </xf>
    <xf borderId="17" fillId="0" fontId="23" numFmtId="0" xfId="0" applyAlignment="1" applyBorder="1" applyFont="1">
      <alignment horizontal="center"/>
    </xf>
    <xf borderId="22" fillId="0" fontId="23" numFmtId="170" xfId="0" applyAlignment="1" applyBorder="1" applyFont="1" applyNumberFormat="1">
      <alignment vertical="center"/>
    </xf>
    <xf borderId="15" fillId="0" fontId="23" numFmtId="170" xfId="0" applyAlignment="1" applyBorder="1" applyFont="1" applyNumberFormat="1">
      <alignment readingOrder="0" vertical="center"/>
    </xf>
    <xf borderId="15" fillId="0" fontId="23" numFmtId="167" xfId="0" applyAlignment="1" applyBorder="1" applyFont="1" applyNumberFormat="1">
      <alignment vertical="center"/>
    </xf>
    <xf borderId="15" fillId="0" fontId="23" numFmtId="166" xfId="0" applyAlignment="1" applyBorder="1" applyFont="1" applyNumberFormat="1">
      <alignment horizontal="left" readingOrder="0" vertical="center"/>
    </xf>
    <xf borderId="15" fillId="0" fontId="23" numFmtId="166" xfId="0" applyAlignment="1" applyBorder="1" applyFont="1" applyNumberFormat="1">
      <alignment horizontal="left" vertical="center"/>
    </xf>
    <xf borderId="15" fillId="0" fontId="23" numFmtId="165" xfId="0" applyAlignment="1" applyBorder="1" applyFont="1" applyNumberFormat="1">
      <alignment readingOrder="0"/>
    </xf>
    <xf borderId="15" fillId="0" fontId="23" numFmtId="165" xfId="0" applyBorder="1" applyFont="1" applyNumberFormat="1"/>
    <xf borderId="0" fillId="0" fontId="15" numFmtId="168" xfId="0" applyAlignment="1" applyFont="1" applyNumberFormat="1">
      <alignment readingOrder="0"/>
    </xf>
    <xf borderId="15" fillId="0" fontId="23" numFmtId="166" xfId="0" applyAlignment="1" applyBorder="1" applyFont="1" applyNumberFormat="1">
      <alignment readingOrder="0"/>
    </xf>
    <xf borderId="15" fillId="0" fontId="23" numFmtId="168" xfId="0" applyBorder="1" applyFont="1" applyNumberFormat="1"/>
    <xf borderId="15" fillId="0" fontId="23" numFmtId="166" xfId="0" applyBorder="1" applyFont="1" applyNumberFormat="1"/>
    <xf borderId="15" fillId="3" fontId="23" numFmtId="166" xfId="0" applyBorder="1" applyFont="1" applyNumberFormat="1"/>
    <xf borderId="10" fillId="3" fontId="6" numFmtId="0" xfId="0" applyAlignment="1" applyBorder="1" applyFont="1">
      <alignment horizontal="center" vertical="center"/>
    </xf>
    <xf borderId="2" fillId="0" fontId="23" numFmtId="170" xfId="0" applyAlignment="1" applyBorder="1" applyFont="1" applyNumberFormat="1">
      <alignment horizontal="right" readingOrder="0" vertical="center"/>
    </xf>
    <xf borderId="17" fillId="0" fontId="23" numFmtId="170" xfId="0" applyAlignment="1" applyBorder="1" applyFont="1" applyNumberFormat="1">
      <alignment horizontal="right" vertical="center"/>
    </xf>
    <xf borderId="2" fillId="0" fontId="23" numFmtId="165" xfId="0" applyBorder="1" applyFont="1" applyNumberFormat="1"/>
    <xf borderId="2" fillId="0" fontId="23" numFmtId="166" xfId="0" applyAlignment="1" applyBorder="1" applyFont="1" applyNumberFormat="1">
      <alignment readingOrder="0"/>
    </xf>
    <xf borderId="22" fillId="0" fontId="23" numFmtId="170" xfId="0" applyBorder="1" applyFont="1" applyNumberFormat="1"/>
    <xf borderId="15" fillId="0" fontId="23" numFmtId="170" xfId="0" applyAlignment="1" applyBorder="1" applyFont="1" applyNumberFormat="1">
      <alignment readingOrder="0"/>
    </xf>
    <xf borderId="2" fillId="0" fontId="23" numFmtId="165" xfId="0" applyAlignment="1" applyBorder="1" applyFont="1" applyNumberFormat="1">
      <alignment horizontal="right" vertical="center"/>
    </xf>
    <xf borderId="16" fillId="0" fontId="23" numFmtId="166" xfId="0" applyAlignment="1" applyBorder="1" applyFont="1" applyNumberFormat="1">
      <alignment horizontal="left" vertical="center"/>
    </xf>
    <xf borderId="15" fillId="0" fontId="23" numFmtId="170" xfId="0" applyBorder="1" applyFont="1" applyNumberFormat="1"/>
    <xf borderId="16" fillId="0" fontId="23" numFmtId="165" xfId="0" applyBorder="1" applyFont="1" applyNumberFormat="1"/>
    <xf borderId="2" fillId="0" fontId="23" numFmtId="166" xfId="0" applyBorder="1" applyFont="1" applyNumberFormat="1"/>
    <xf borderId="15" fillId="0" fontId="23" numFmtId="165" xfId="0" applyAlignment="1" applyBorder="1" applyFont="1" applyNumberFormat="1">
      <alignment horizontal="right" vertical="center"/>
    </xf>
    <xf borderId="16" fillId="0" fontId="23" numFmtId="165" xfId="0" applyAlignment="1" applyBorder="1" applyFont="1" applyNumberFormat="1">
      <alignment readingOrder="0"/>
    </xf>
    <xf borderId="2" fillId="0" fontId="23" numFmtId="166" xfId="0" applyAlignment="1" applyBorder="1" applyFont="1" applyNumberFormat="1">
      <alignment horizontal="left" vertical="center"/>
    </xf>
    <xf borderId="2" fillId="0" fontId="23" numFmtId="4" xfId="0" applyBorder="1" applyFont="1" applyNumberFormat="1"/>
    <xf borderId="2" fillId="0" fontId="23" numFmtId="170" xfId="0" applyBorder="1" applyFont="1" applyNumberFormat="1"/>
    <xf borderId="15" fillId="0" fontId="23" numFmtId="165" xfId="0" applyAlignment="1" applyBorder="1" applyFont="1" applyNumberFormat="1">
      <alignment horizontal="left" vertical="center"/>
    </xf>
    <xf borderId="2" fillId="0" fontId="23" numFmtId="165" xfId="0" applyAlignment="1" applyBorder="1" applyFont="1" applyNumberFormat="1">
      <alignment horizontal="left" vertical="center"/>
    </xf>
    <xf borderId="16" fillId="0" fontId="23" numFmtId="166" xfId="0" applyAlignment="1" applyBorder="1" applyFont="1" applyNumberFormat="1">
      <alignment horizontal="left" readingOrder="0" vertical="center"/>
    </xf>
    <xf borderId="33" fillId="16" fontId="37" numFmtId="168" xfId="0" applyAlignment="1" applyBorder="1" applyFont="1" applyNumberFormat="1">
      <alignment horizontal="right" readingOrder="0"/>
    </xf>
    <xf borderId="17" fillId="0" fontId="23" numFmtId="169" xfId="0" applyAlignment="1" applyBorder="1" applyFont="1" applyNumberFormat="1">
      <alignment horizontal="center" readingOrder="0"/>
    </xf>
    <xf borderId="2" fillId="16" fontId="37" numFmtId="168" xfId="0" applyAlignment="1" applyBorder="1" applyFont="1" applyNumberFormat="1">
      <alignment horizontal="right"/>
    </xf>
    <xf borderId="28" fillId="3" fontId="6" numFmtId="0" xfId="0" applyAlignment="1" applyBorder="1" applyFont="1">
      <alignment horizontal="center" vertical="center"/>
    </xf>
    <xf borderId="10" fillId="13" fontId="38" numFmtId="0" xfId="0" applyAlignment="1" applyBorder="1" applyFont="1">
      <alignment horizontal="center"/>
    </xf>
    <xf borderId="10" fillId="13" fontId="38" numFmtId="165" xfId="0" applyAlignment="1" applyBorder="1" applyFont="1" applyNumberFormat="1">
      <alignment horizontal="center"/>
    </xf>
    <xf borderId="10" fillId="13" fontId="38" numFmtId="170" xfId="0" applyAlignment="1" applyBorder="1" applyFont="1" applyNumberFormat="1">
      <alignment vertical="center"/>
    </xf>
    <xf borderId="10" fillId="13" fontId="38" numFmtId="166" xfId="0" applyAlignment="1" applyBorder="1" applyFont="1" applyNumberFormat="1">
      <alignment horizontal="center" vertical="center"/>
    </xf>
    <xf borderId="10" fillId="13" fontId="38" numFmtId="166" xfId="0" applyAlignment="1" applyBorder="1" applyFont="1" applyNumberFormat="1">
      <alignment horizontal="center"/>
    </xf>
    <xf borderId="34" fillId="13" fontId="38" numFmtId="167" xfId="0" applyAlignment="1" applyBorder="1" applyFont="1" applyNumberFormat="1">
      <alignment horizontal="left"/>
    </xf>
    <xf borderId="10" fillId="3" fontId="6" numFmtId="165" xfId="0" applyAlignment="1" applyBorder="1" applyFont="1" applyNumberFormat="1">
      <alignment horizontal="center" vertical="center"/>
    </xf>
    <xf borderId="41" fillId="0" fontId="13" numFmtId="4" xfId="0" applyAlignment="1" applyBorder="1" applyFont="1" applyNumberFormat="1">
      <alignment horizontal="right" readingOrder="0"/>
    </xf>
    <xf borderId="0" fillId="16" fontId="39" numFmtId="168" xfId="0" applyAlignment="1" applyFont="1" applyNumberFormat="1">
      <alignment horizontal="left" readingOrder="0"/>
    </xf>
    <xf borderId="0" fillId="16" fontId="39" numFmtId="169" xfId="0" applyAlignment="1" applyFont="1" applyNumberFormat="1">
      <alignment horizontal="left" readingOrder="0"/>
    </xf>
    <xf borderId="0" fillId="0" fontId="15" numFmtId="16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STADO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90" displayName="Tabela_1" name="Tabela_1" id="1">
  <autoFilter ref="$A$1:$F$190"/>
  <tableColumns count="6">
    <tableColumn name="ANO" id="1"/>
    <tableColumn name="NÍVEL DE ATENÇÃO" id="2"/>
    <tableColumn name="OBSERVAÇÃO DE EMPENHO" id="3"/>
    <tableColumn name="RECURSO (R$)" id="4"/>
    <tableColumn name="COMPETÊNCIA " id="5"/>
    <tableColumn name="DATA DE PAGAMENTO" id="6"/>
  </tableColumns>
  <tableStyleInfo name="EST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9" width="21.71"/>
    <col customWidth="1" min="20" max="21" width="22.71"/>
    <col customWidth="1" min="22" max="22" width="20.86"/>
    <col customWidth="1" min="23" max="26" width="9.14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3"/>
      <c r="W1" s="3"/>
      <c r="X1" s="3"/>
      <c r="Y1" s="3"/>
      <c r="Z1" s="3"/>
    </row>
    <row r="2" ht="96.0" customHeight="1">
      <c r="A2" s="4"/>
      <c r="B2" s="4"/>
      <c r="C2" s="5" t="s">
        <v>1</v>
      </c>
      <c r="D2" s="5" t="s">
        <v>2</v>
      </c>
      <c r="E2" s="5" t="s">
        <v>3</v>
      </c>
      <c r="F2" s="6" t="s">
        <v>4</v>
      </c>
      <c r="G2" s="7"/>
      <c r="H2" s="7"/>
      <c r="I2" s="7"/>
      <c r="J2" s="8"/>
      <c r="K2" s="9" t="s">
        <v>5</v>
      </c>
      <c r="L2" s="10"/>
      <c r="M2" s="10"/>
      <c r="N2" s="10"/>
      <c r="O2" s="10"/>
      <c r="P2" s="10"/>
      <c r="Q2" s="11"/>
      <c r="R2" s="12" t="s">
        <v>6</v>
      </c>
      <c r="S2" s="13" t="s">
        <v>7</v>
      </c>
      <c r="T2" s="13" t="s">
        <v>8</v>
      </c>
      <c r="U2" s="14" t="s">
        <v>9</v>
      </c>
      <c r="V2" s="15" t="s">
        <v>10</v>
      </c>
      <c r="W2" s="3"/>
      <c r="X2" s="3"/>
      <c r="Y2" s="3"/>
      <c r="Z2" s="3"/>
    </row>
    <row r="3" ht="93.75" customHeight="1">
      <c r="A3" s="16"/>
      <c r="B3" s="16"/>
      <c r="C3" s="17" t="s">
        <v>11</v>
      </c>
      <c r="D3" s="18" t="s">
        <v>12</v>
      </c>
      <c r="E3" s="17" t="s">
        <v>13</v>
      </c>
      <c r="F3" s="17" t="s">
        <v>14</v>
      </c>
      <c r="G3" s="17"/>
      <c r="H3" s="19" t="s">
        <v>15</v>
      </c>
      <c r="I3" s="20" t="s">
        <v>16</v>
      </c>
      <c r="J3" s="21"/>
      <c r="K3" s="17" t="s">
        <v>17</v>
      </c>
      <c r="L3" s="17" t="s">
        <v>18</v>
      </c>
      <c r="M3" s="17" t="s">
        <v>19</v>
      </c>
      <c r="N3" s="22" t="s">
        <v>20</v>
      </c>
      <c r="O3" s="22" t="s">
        <v>21</v>
      </c>
      <c r="P3" s="23" t="s">
        <v>22</v>
      </c>
      <c r="Q3" s="23" t="s">
        <v>23</v>
      </c>
      <c r="R3" s="23" t="s">
        <v>24</v>
      </c>
      <c r="S3" s="23" t="s">
        <v>25</v>
      </c>
      <c r="T3" s="23" t="s">
        <v>26</v>
      </c>
      <c r="U3" s="24" t="s">
        <v>27</v>
      </c>
      <c r="V3" s="25"/>
      <c r="W3" s="3"/>
      <c r="X3" s="3"/>
      <c r="Y3" s="3"/>
      <c r="Z3" s="3"/>
    </row>
    <row r="4" ht="15.75" customHeight="1">
      <c r="A4" s="26" t="s">
        <v>28</v>
      </c>
      <c r="B4" s="26" t="s">
        <v>29</v>
      </c>
      <c r="C4" s="27" t="s">
        <v>30</v>
      </c>
      <c r="D4" s="27"/>
      <c r="E4" s="28"/>
      <c r="F4" s="29" t="s">
        <v>31</v>
      </c>
      <c r="G4" s="30" t="s">
        <v>32</v>
      </c>
      <c r="H4" s="30" t="s">
        <v>33</v>
      </c>
      <c r="I4" s="30" t="s">
        <v>34</v>
      </c>
      <c r="J4" s="31" t="s">
        <v>35</v>
      </c>
      <c r="K4" s="32" t="s">
        <v>36</v>
      </c>
      <c r="L4" s="33" t="s">
        <v>37</v>
      </c>
      <c r="M4" s="32" t="s">
        <v>38</v>
      </c>
      <c r="N4" s="33" t="s">
        <v>39</v>
      </c>
      <c r="O4" s="34" t="s">
        <v>40</v>
      </c>
      <c r="P4" s="35" t="s">
        <v>41</v>
      </c>
      <c r="Q4" s="36" t="s">
        <v>42</v>
      </c>
      <c r="R4" s="37"/>
      <c r="S4" s="38"/>
      <c r="T4" s="38"/>
      <c r="U4" s="39"/>
      <c r="V4" s="25"/>
      <c r="W4" s="3"/>
      <c r="X4" s="3"/>
      <c r="Y4" s="3"/>
      <c r="Z4" s="3"/>
    </row>
    <row r="5" ht="15.75" customHeight="1">
      <c r="A5" s="40">
        <v>45292.0</v>
      </c>
      <c r="B5" s="41" t="s">
        <v>43</v>
      </c>
      <c r="C5" s="42">
        <v>1893101.56</v>
      </c>
      <c r="D5" s="43">
        <v>352701.13</v>
      </c>
      <c r="E5" s="43">
        <v>241715.04</v>
      </c>
      <c r="F5" s="44">
        <v>291015.0</v>
      </c>
      <c r="G5" s="44">
        <v>176328.0</v>
      </c>
      <c r="H5" s="44">
        <v>33750.0</v>
      </c>
      <c r="I5" s="44">
        <v>139337.77</v>
      </c>
      <c r="J5" s="44">
        <v>640430.77</v>
      </c>
      <c r="K5" s="45"/>
      <c r="L5" s="45"/>
      <c r="M5" s="46"/>
      <c r="N5" s="47"/>
      <c r="O5" s="47"/>
      <c r="P5" s="48"/>
      <c r="Q5" s="49">
        <v>271600.0</v>
      </c>
      <c r="R5" s="50">
        <v>2278968.0</v>
      </c>
      <c r="S5" s="51">
        <v>98600.0</v>
      </c>
      <c r="T5" s="52">
        <v>6000.0</v>
      </c>
      <c r="U5" s="53">
        <v>345296.52</v>
      </c>
      <c r="V5" s="25"/>
      <c r="W5" s="3"/>
      <c r="X5" s="3"/>
      <c r="Y5" s="3"/>
      <c r="Z5" s="3"/>
    </row>
    <row r="6" ht="15.75" customHeight="1">
      <c r="A6" s="40"/>
      <c r="B6" s="54" t="s">
        <v>44</v>
      </c>
      <c r="C6" s="55">
        <v>1893101.56</v>
      </c>
      <c r="D6" s="55">
        <v>352701.13</v>
      </c>
      <c r="E6" s="56">
        <v>241715.04</v>
      </c>
      <c r="F6" s="56">
        <v>291015.0</v>
      </c>
      <c r="G6" s="56">
        <v>176328.0</v>
      </c>
      <c r="H6" s="56">
        <v>33750.0</v>
      </c>
      <c r="I6" s="56">
        <v>139337.77</v>
      </c>
      <c r="J6" s="56">
        <f>SUM(F6:I6)</f>
        <v>640430.77</v>
      </c>
      <c r="K6" s="56">
        <v>0.0</v>
      </c>
      <c r="L6" s="57">
        <v>0.0</v>
      </c>
      <c r="M6" s="56">
        <v>54000.0</v>
      </c>
      <c r="N6" s="58">
        <v>18600.0</v>
      </c>
      <c r="O6" s="59">
        <v>7000.0</v>
      </c>
      <c r="P6" s="59">
        <v>192000.0</v>
      </c>
      <c r="Q6" s="60">
        <f>SUM(K6:P6)</f>
        <v>271600</v>
      </c>
      <c r="R6" s="61">
        <v>2278968.0</v>
      </c>
      <c r="S6" s="62">
        <v>98600.0</v>
      </c>
      <c r="T6" s="63">
        <v>6000.0</v>
      </c>
      <c r="U6" s="64"/>
      <c r="V6" s="25"/>
      <c r="W6" s="3"/>
      <c r="X6" s="3"/>
      <c r="Y6" s="3"/>
      <c r="Z6" s="3"/>
    </row>
    <row r="7" ht="15.75" customHeight="1">
      <c r="A7" s="40">
        <v>45323.0</v>
      </c>
      <c r="B7" s="41" t="s">
        <v>43</v>
      </c>
      <c r="C7" s="65">
        <v>1884050.02</v>
      </c>
      <c r="D7" s="65">
        <v>352701.13</v>
      </c>
      <c r="E7" s="66">
        <v>260641.92</v>
      </c>
      <c r="F7" s="67">
        <v>287001.0</v>
      </c>
      <c r="G7" s="68">
        <v>173879.0</v>
      </c>
      <c r="H7" s="44">
        <v>33750.0</v>
      </c>
      <c r="I7" s="44">
        <v>139337.77</v>
      </c>
      <c r="J7" s="44">
        <v>636416.77</v>
      </c>
      <c r="K7" s="45"/>
      <c r="L7" s="46"/>
      <c r="M7" s="46"/>
      <c r="N7" s="47"/>
      <c r="O7" s="69"/>
      <c r="P7" s="48"/>
      <c r="Q7" s="49">
        <v>284600.0</v>
      </c>
      <c r="R7" s="50">
        <v>2278968.0</v>
      </c>
      <c r="S7" s="70">
        <v>93500.0</v>
      </c>
      <c r="T7" s="52">
        <v>6000.0</v>
      </c>
      <c r="U7" s="53">
        <v>345296.52</v>
      </c>
      <c r="V7" s="25"/>
      <c r="W7" s="3"/>
      <c r="X7" s="3"/>
      <c r="Y7" s="3"/>
      <c r="Z7" s="3"/>
    </row>
    <row r="8" ht="15.75" customHeight="1">
      <c r="A8" s="40"/>
      <c r="B8" s="54" t="s">
        <v>44</v>
      </c>
      <c r="C8" s="71">
        <v>1884050.02</v>
      </c>
      <c r="D8" s="72">
        <v>352701.13</v>
      </c>
      <c r="E8" s="56">
        <v>260641.92</v>
      </c>
      <c r="F8" s="73">
        <v>287001.0</v>
      </c>
      <c r="G8" s="73">
        <v>173879.0</v>
      </c>
      <c r="H8" s="57">
        <v>33750.0</v>
      </c>
      <c r="I8" s="56">
        <v>139337.77</v>
      </c>
      <c r="J8" s="57">
        <f>SUM(F8:I8)</f>
        <v>633967.77</v>
      </c>
      <c r="K8" s="57"/>
      <c r="L8" s="56"/>
      <c r="M8" s="57">
        <v>54000.0</v>
      </c>
      <c r="N8" s="58">
        <v>18600.0</v>
      </c>
      <c r="O8" s="60">
        <v>2000.0</v>
      </c>
      <c r="P8" s="59">
        <v>192000.0</v>
      </c>
      <c r="Q8" s="60">
        <v>284600.0</v>
      </c>
      <c r="R8" s="61">
        <v>2278968.0</v>
      </c>
      <c r="S8" s="60">
        <v>93500.0</v>
      </c>
      <c r="T8" s="63">
        <v>6000.0</v>
      </c>
      <c r="U8" s="64"/>
      <c r="V8" s="25"/>
      <c r="W8" s="3"/>
      <c r="X8" s="3"/>
      <c r="Y8" s="3"/>
      <c r="Z8" s="3"/>
    </row>
    <row r="9" ht="15.75" customHeight="1">
      <c r="A9" s="40">
        <v>45352.0</v>
      </c>
      <c r="B9" s="41" t="s">
        <v>43</v>
      </c>
      <c r="C9" s="65">
        <v>1790637.11</v>
      </c>
      <c r="D9" s="65">
        <v>352701.13</v>
      </c>
      <c r="E9" s="66">
        <v>260641.92</v>
      </c>
      <c r="F9" s="68">
        <v>291015.0</v>
      </c>
      <c r="G9" s="68">
        <v>176328.0</v>
      </c>
      <c r="H9" s="44">
        <v>33750.0</v>
      </c>
      <c r="I9" s="44">
        <v>139337.77</v>
      </c>
      <c r="J9" s="44">
        <v>637981.77</v>
      </c>
      <c r="K9" s="45"/>
      <c r="L9" s="46"/>
      <c r="M9" s="46"/>
      <c r="N9" s="47"/>
      <c r="O9" s="69"/>
      <c r="P9" s="48"/>
      <c r="Q9" s="49">
        <v>295856.0</v>
      </c>
      <c r="R9" s="74">
        <v>2298736.0</v>
      </c>
      <c r="S9" s="51">
        <v>96900.0</v>
      </c>
      <c r="T9" s="52">
        <v>6000.0</v>
      </c>
      <c r="U9" s="53">
        <v>1328513.52</v>
      </c>
      <c r="V9" s="25"/>
      <c r="W9" s="3"/>
      <c r="X9" s="3"/>
      <c r="Y9" s="3"/>
      <c r="Z9" s="3"/>
    </row>
    <row r="10" ht="15.75" customHeight="1">
      <c r="A10" s="40"/>
      <c r="B10" s="54" t="s">
        <v>44</v>
      </c>
      <c r="C10" s="71">
        <v>1790637.11</v>
      </c>
      <c r="D10" s="71">
        <v>352701.13</v>
      </c>
      <c r="E10" s="56">
        <v>260641.92</v>
      </c>
      <c r="F10" s="56">
        <v>291015.0</v>
      </c>
      <c r="G10" s="56">
        <v>176328.0</v>
      </c>
      <c r="H10" s="56">
        <v>33750.0</v>
      </c>
      <c r="I10" s="56">
        <v>139337.77</v>
      </c>
      <c r="J10" s="56">
        <f t="shared" ref="J10:J12" si="1">SUM(F10:I10)</f>
        <v>640430.77</v>
      </c>
      <c r="K10" s="56">
        <v>8556.0</v>
      </c>
      <c r="L10" s="56"/>
      <c r="M10" s="56">
        <v>84000.0</v>
      </c>
      <c r="N10" s="58">
        <v>9300.0</v>
      </c>
      <c r="O10" s="60">
        <v>2000.0</v>
      </c>
      <c r="P10" s="60">
        <v>192000.0</v>
      </c>
      <c r="Q10" s="60">
        <f>SUM(K10:P10)</f>
        <v>295856</v>
      </c>
      <c r="R10" s="75">
        <v>2298736.0</v>
      </c>
      <c r="S10" s="76">
        <v>96900.0</v>
      </c>
      <c r="T10" s="63">
        <v>6000.0</v>
      </c>
      <c r="U10" s="77"/>
      <c r="V10" s="25"/>
      <c r="W10" s="3"/>
      <c r="X10" s="3"/>
      <c r="Y10" s="3"/>
      <c r="Z10" s="3"/>
    </row>
    <row r="11" ht="15.75" customHeight="1">
      <c r="A11" s="40">
        <v>45383.0</v>
      </c>
      <c r="B11" s="41" t="s">
        <v>43</v>
      </c>
      <c r="C11" s="78">
        <v>1783788.32</v>
      </c>
      <c r="D11" s="65">
        <v>352701.13</v>
      </c>
      <c r="E11" s="66">
        <v>260641.92</v>
      </c>
      <c r="F11" s="79">
        <v>282987.0</v>
      </c>
      <c r="G11" s="79">
        <v>171430.0</v>
      </c>
      <c r="H11" s="79">
        <v>33750.0</v>
      </c>
      <c r="I11" s="79">
        <v>139337.77</v>
      </c>
      <c r="J11" s="79">
        <f t="shared" si="1"/>
        <v>627504.77</v>
      </c>
      <c r="K11" s="45"/>
      <c r="L11" s="45"/>
      <c r="M11" s="80"/>
      <c r="N11" s="80"/>
      <c r="O11" s="48"/>
      <c r="P11" s="48"/>
      <c r="Q11" s="49">
        <v>296600.0</v>
      </c>
      <c r="R11" s="81">
        <v>2270496.0</v>
      </c>
      <c r="S11" s="82">
        <v>100300.0</v>
      </c>
      <c r="T11" s="52">
        <v>6000.0</v>
      </c>
      <c r="U11" s="53">
        <v>345296.52</v>
      </c>
      <c r="V11" s="25"/>
      <c r="W11" s="3"/>
      <c r="X11" s="3"/>
      <c r="Y11" s="3"/>
      <c r="Z11" s="3"/>
    </row>
    <row r="12" ht="15.75" customHeight="1">
      <c r="A12" s="40"/>
      <c r="B12" s="54" t="s">
        <v>44</v>
      </c>
      <c r="C12" s="71">
        <v>1783788.32</v>
      </c>
      <c r="D12" s="71">
        <v>352701.13</v>
      </c>
      <c r="E12" s="56">
        <v>260641.92</v>
      </c>
      <c r="F12" s="56">
        <v>282987.0</v>
      </c>
      <c r="G12" s="56">
        <v>171430.0</v>
      </c>
      <c r="H12" s="56">
        <v>33750.0</v>
      </c>
      <c r="I12" s="56">
        <v>139337.77</v>
      </c>
      <c r="J12" s="56">
        <f t="shared" si="1"/>
        <v>627504.77</v>
      </c>
      <c r="K12" s="56"/>
      <c r="L12" s="56"/>
      <c r="M12" s="76">
        <v>84000.0</v>
      </c>
      <c r="N12" s="58">
        <v>18600.0</v>
      </c>
      <c r="O12" s="60">
        <v>2000.0</v>
      </c>
      <c r="P12" s="59">
        <v>192000.0</v>
      </c>
      <c r="Q12" s="60">
        <f>SUM(K12:P12)</f>
        <v>296600</v>
      </c>
      <c r="R12" s="61">
        <v>2270496.0</v>
      </c>
      <c r="S12" s="60">
        <v>100300.0</v>
      </c>
      <c r="T12" s="63">
        <v>6000.0</v>
      </c>
      <c r="U12" s="77"/>
      <c r="V12" s="25"/>
      <c r="W12" s="3"/>
      <c r="X12" s="3"/>
      <c r="Y12" s="3"/>
      <c r="Z12" s="3"/>
    </row>
    <row r="13" ht="15.75" customHeight="1">
      <c r="A13" s="83" t="s">
        <v>10</v>
      </c>
      <c r="B13" s="83"/>
      <c r="C13" s="84">
        <f t="shared" ref="C13:J13" si="2">SUM(C5,C7,C9,C11)</f>
        <v>7351577.01</v>
      </c>
      <c r="D13" s="85">
        <f t="shared" si="2"/>
        <v>1410804.52</v>
      </c>
      <c r="E13" s="86">
        <f t="shared" si="2"/>
        <v>1023640.8</v>
      </c>
      <c r="F13" s="86">
        <f t="shared" si="2"/>
        <v>1152018</v>
      </c>
      <c r="G13" s="86">
        <f t="shared" si="2"/>
        <v>697965</v>
      </c>
      <c r="H13" s="86">
        <f t="shared" si="2"/>
        <v>135000</v>
      </c>
      <c r="I13" s="86">
        <f t="shared" si="2"/>
        <v>557351.08</v>
      </c>
      <c r="J13" s="86">
        <f t="shared" si="2"/>
        <v>2542334.08</v>
      </c>
      <c r="K13" s="86">
        <f t="shared" ref="K13:P13" si="3">SUM(K10,K12,K8,K6)</f>
        <v>8556</v>
      </c>
      <c r="L13" s="86">
        <f t="shared" si="3"/>
        <v>0</v>
      </c>
      <c r="M13" s="86">
        <f t="shared" si="3"/>
        <v>276000</v>
      </c>
      <c r="N13" s="86">
        <f t="shared" si="3"/>
        <v>65100</v>
      </c>
      <c r="O13" s="86">
        <f t="shared" si="3"/>
        <v>13000</v>
      </c>
      <c r="P13" s="86">
        <f t="shared" si="3"/>
        <v>768000</v>
      </c>
      <c r="Q13" s="86">
        <f t="shared" ref="Q13:U13" si="4">SUM(Q5,Q7,Q9,Q11)</f>
        <v>1148656</v>
      </c>
      <c r="R13" s="87">
        <f t="shared" si="4"/>
        <v>9127168</v>
      </c>
      <c r="S13" s="87">
        <f t="shared" si="4"/>
        <v>389300</v>
      </c>
      <c r="T13" s="87">
        <f t="shared" si="4"/>
        <v>24000</v>
      </c>
      <c r="U13" s="87">
        <f t="shared" si="4"/>
        <v>2364403.08</v>
      </c>
      <c r="V13" s="88">
        <f>SUM(C13,D13,E13,J13,Q13,R13,S13,T13,U13)</f>
        <v>25381883.49</v>
      </c>
      <c r="W13" s="3"/>
      <c r="X13" s="3"/>
      <c r="Y13" s="3"/>
      <c r="Z13" s="3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3"/>
      <c r="V14" s="3"/>
      <c r="W14" s="3"/>
      <c r="X14" s="3"/>
      <c r="Y14" s="3"/>
      <c r="Z14" s="3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3"/>
      <c r="V15" s="3"/>
      <c r="W15" s="3"/>
      <c r="X15" s="3"/>
      <c r="Y15" s="3"/>
      <c r="Z15" s="3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3"/>
      <c r="V16" s="3"/>
      <c r="W16" s="3"/>
      <c r="X16" s="3"/>
      <c r="Y16" s="3"/>
      <c r="Z16" s="3"/>
    </row>
    <row r="17" ht="15.75" customHeight="1">
      <c r="A17" s="2"/>
      <c r="B17" s="2"/>
      <c r="C17" s="2"/>
      <c r="D17" s="2"/>
      <c r="E17" s="2"/>
      <c r="F17" s="2"/>
      <c r="G17" s="2"/>
      <c r="H17" s="89"/>
      <c r="I17" s="2"/>
      <c r="J17" s="2"/>
      <c r="K17" s="2"/>
      <c r="L17" s="2"/>
      <c r="M17" s="2"/>
      <c r="N17" s="2"/>
      <c r="O17" s="89"/>
      <c r="P17" s="89"/>
      <c r="Q17" s="89"/>
      <c r="R17" s="2"/>
      <c r="S17" s="2"/>
      <c r="T17" s="2"/>
      <c r="U17" s="3"/>
      <c r="V17" s="3"/>
      <c r="W17" s="3"/>
      <c r="X17" s="3"/>
      <c r="Y17" s="3"/>
      <c r="Z17" s="3"/>
    </row>
    <row r="18" ht="15.75" customHeight="1">
      <c r="A18" s="2"/>
      <c r="B18" s="2"/>
      <c r="C18" s="2"/>
      <c r="D18" s="2"/>
      <c r="E18" s="2"/>
      <c r="F18" s="2"/>
      <c r="G18" s="2"/>
      <c r="H18" s="89"/>
      <c r="I18" s="89"/>
      <c r="J18" s="89"/>
      <c r="K18" s="2"/>
      <c r="L18" s="2"/>
      <c r="M18" s="2"/>
      <c r="N18" s="2"/>
      <c r="O18" s="89"/>
      <c r="P18" s="89"/>
      <c r="Q18" s="89"/>
      <c r="R18" s="2"/>
      <c r="S18" s="2"/>
      <c r="T18" s="2"/>
      <c r="U18" s="3"/>
      <c r="V18" s="3"/>
      <c r="W18" s="3"/>
      <c r="X18" s="3"/>
      <c r="Y18" s="3"/>
      <c r="Z18" s="3"/>
    </row>
    <row r="19" ht="15.75" customHeight="1">
      <c r="A19" s="2"/>
      <c r="B19" s="2"/>
      <c r="C19" s="2"/>
      <c r="D19" s="2"/>
      <c r="E19" s="2"/>
      <c r="F19" s="2"/>
      <c r="G19" s="2"/>
      <c r="H19" s="89"/>
      <c r="I19" s="89"/>
      <c r="J19" s="89"/>
      <c r="K19" s="2"/>
      <c r="L19" s="2"/>
      <c r="M19" s="2"/>
      <c r="N19" s="2"/>
      <c r="O19" s="89"/>
      <c r="P19" s="89"/>
      <c r="Q19" s="89"/>
      <c r="R19" s="2"/>
      <c r="S19" s="2"/>
      <c r="T19" s="2"/>
      <c r="U19" s="3"/>
      <c r="V19" s="3"/>
      <c r="W19" s="3"/>
      <c r="X19" s="3"/>
      <c r="Y19" s="3"/>
      <c r="Z19" s="3"/>
    </row>
    <row r="20" ht="15.75" customHeight="1">
      <c r="A20" s="2"/>
      <c r="B20" s="2"/>
      <c r="C20" s="2"/>
      <c r="D20" s="2"/>
      <c r="E20" s="2"/>
      <c r="F20" s="2"/>
      <c r="G20" s="2"/>
      <c r="H20" s="89"/>
      <c r="I20" s="89"/>
      <c r="J20" s="89"/>
      <c r="K20" s="2"/>
      <c r="L20" s="2"/>
      <c r="M20" s="2"/>
      <c r="N20" s="2"/>
      <c r="O20" s="89"/>
      <c r="P20" s="89"/>
      <c r="Q20" s="89"/>
      <c r="R20" s="2"/>
      <c r="S20" s="2"/>
      <c r="T20" s="2"/>
      <c r="U20" s="3"/>
      <c r="V20" s="3"/>
      <c r="W20" s="3"/>
      <c r="X20" s="3"/>
      <c r="Y20" s="3"/>
      <c r="Z20" s="3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89"/>
      <c r="J21" s="2"/>
      <c r="K21" s="2"/>
      <c r="L21" s="2"/>
      <c r="M21" s="2"/>
      <c r="N21" s="2"/>
      <c r="O21" s="89"/>
      <c r="P21" s="2"/>
      <c r="Q21" s="2"/>
      <c r="R21" s="2"/>
      <c r="S21" s="2"/>
      <c r="T21" s="2"/>
      <c r="U21" s="3"/>
      <c r="V21" s="3"/>
      <c r="W21" s="3"/>
      <c r="X21" s="3"/>
      <c r="Y21" s="3"/>
      <c r="Z21" s="3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3"/>
      <c r="V22" s="3"/>
      <c r="W22" s="3"/>
      <c r="X22" s="3"/>
      <c r="Y22" s="3"/>
      <c r="Z22" s="3"/>
    </row>
    <row r="23" ht="15.75" customHeight="1">
      <c r="A23" s="2"/>
      <c r="B23" s="2"/>
      <c r="C23" s="2"/>
      <c r="D23" s="2"/>
      <c r="E23" s="2"/>
      <c r="F23" s="2"/>
      <c r="G23" s="2"/>
      <c r="H23" s="90"/>
      <c r="I23" s="2"/>
      <c r="J23" s="91"/>
      <c r="K23" s="91"/>
      <c r="L23" s="2"/>
      <c r="M23" s="2"/>
      <c r="N23" s="2"/>
      <c r="O23" s="2"/>
      <c r="P23" s="2"/>
      <c r="Q23" s="2"/>
      <c r="R23" s="2"/>
      <c r="S23" s="2"/>
      <c r="T23" s="2"/>
      <c r="U23" s="3"/>
      <c r="V23" s="3"/>
      <c r="W23" s="3"/>
      <c r="X23" s="3"/>
      <c r="Y23" s="3"/>
      <c r="Z23" s="3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92"/>
      <c r="P24" s="2"/>
      <c r="Q24" s="2"/>
      <c r="R24" s="2"/>
      <c r="S24" s="2"/>
      <c r="T24" s="2"/>
      <c r="U24" s="3"/>
      <c r="V24" s="3"/>
      <c r="W24" s="3"/>
      <c r="X24" s="3"/>
      <c r="Y24" s="3"/>
      <c r="Z24" s="3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93"/>
      <c r="Q25" s="2"/>
      <c r="R25" s="2"/>
      <c r="S25" s="2"/>
      <c r="T25" s="2"/>
      <c r="U25" s="3"/>
      <c r="V25" s="3"/>
      <c r="W25" s="3"/>
      <c r="X25" s="3"/>
      <c r="Y25" s="3"/>
      <c r="Z25" s="3"/>
    </row>
    <row r="26" ht="15.75" customHeight="1">
      <c r="A26" s="2"/>
      <c r="B26" s="2"/>
      <c r="C26" s="2"/>
      <c r="D26" s="2"/>
      <c r="E26" s="2"/>
      <c r="F26" s="2"/>
      <c r="G26" s="2"/>
      <c r="H26" s="91"/>
      <c r="I26" s="2"/>
      <c r="J26" s="2"/>
      <c r="K26" s="2"/>
      <c r="L26" s="2"/>
      <c r="M26" s="2"/>
      <c r="N26" s="2"/>
      <c r="O26" s="90"/>
      <c r="P26" s="93"/>
      <c r="Q26" s="2"/>
      <c r="R26" s="2"/>
      <c r="S26" s="2"/>
      <c r="T26" s="2"/>
      <c r="U26" s="3"/>
      <c r="V26" s="3"/>
      <c r="W26" s="3"/>
      <c r="X26" s="3"/>
      <c r="Y26" s="3"/>
      <c r="Z26" s="3"/>
    </row>
    <row r="27" ht="15.75" customHeight="1">
      <c r="A27" s="2"/>
      <c r="B27" s="2"/>
      <c r="C27" s="2"/>
      <c r="D27" s="2"/>
      <c r="E27" s="2"/>
      <c r="F27" s="2"/>
      <c r="G27" s="2"/>
      <c r="H27" s="91"/>
      <c r="I27" s="2"/>
      <c r="J27" s="2"/>
      <c r="K27" s="2"/>
      <c r="L27" s="2"/>
      <c r="M27" s="2"/>
      <c r="N27" s="2"/>
      <c r="O27" s="2"/>
      <c r="P27" s="89"/>
      <c r="Q27" s="2"/>
      <c r="R27" s="2"/>
      <c r="S27" s="2"/>
      <c r="T27" s="2"/>
      <c r="U27" s="3"/>
      <c r="V27" s="3"/>
      <c r="W27" s="3"/>
      <c r="X27" s="3"/>
      <c r="Y27" s="3"/>
      <c r="Z27" s="3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3"/>
      <c r="V28" s="3"/>
      <c r="W28" s="3"/>
      <c r="X28" s="3"/>
      <c r="Y28" s="3"/>
      <c r="Z28" s="3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  <c r="W29" s="3"/>
      <c r="X29" s="3"/>
      <c r="Y29" s="3"/>
      <c r="Z29" s="3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3"/>
      <c r="V30" s="3"/>
      <c r="W30" s="3"/>
      <c r="X30" s="3"/>
      <c r="Y30" s="3"/>
      <c r="Z30" s="3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3"/>
      <c r="V31" s="3"/>
      <c r="W31" s="3"/>
      <c r="X31" s="3"/>
      <c r="Y31" s="3"/>
      <c r="Z31" s="3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3"/>
      <c r="V32" s="3"/>
      <c r="W32" s="3"/>
      <c r="X32" s="3"/>
      <c r="Y32" s="3"/>
      <c r="Z32" s="3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3"/>
      <c r="V33" s="3"/>
      <c r="W33" s="3"/>
      <c r="X33" s="3"/>
      <c r="Y33" s="3"/>
      <c r="Z33" s="3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3"/>
      <c r="V34" s="3"/>
      <c r="W34" s="3"/>
      <c r="X34" s="3"/>
      <c r="Y34" s="3"/>
      <c r="Z34" s="3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3"/>
      <c r="V35" s="3"/>
      <c r="W35" s="3"/>
      <c r="X35" s="3"/>
      <c r="Y35" s="3"/>
      <c r="Z35" s="3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3"/>
      <c r="V36" s="3"/>
      <c r="W36" s="3"/>
      <c r="X36" s="3"/>
      <c r="Y36" s="3"/>
      <c r="Z36" s="3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3"/>
      <c r="V37" s="3"/>
      <c r="W37" s="3"/>
      <c r="X37" s="3"/>
      <c r="Y37" s="3"/>
      <c r="Z37" s="3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3"/>
      <c r="V38" s="3"/>
      <c r="W38" s="3"/>
      <c r="X38" s="3"/>
      <c r="Y38" s="3"/>
      <c r="Z38" s="3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3"/>
      <c r="V39" s="3"/>
      <c r="W39" s="3"/>
      <c r="X39" s="3"/>
      <c r="Y39" s="3"/>
      <c r="Z39" s="3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3"/>
      <c r="V40" s="3"/>
      <c r="W40" s="3"/>
      <c r="X40" s="3"/>
      <c r="Y40" s="3"/>
      <c r="Z40" s="3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3"/>
      <c r="V41" s="3"/>
      <c r="W41" s="3"/>
      <c r="X41" s="3"/>
      <c r="Y41" s="3"/>
      <c r="Z41" s="3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3"/>
      <c r="V42" s="3"/>
      <c r="W42" s="3"/>
      <c r="X42" s="3"/>
      <c r="Y42" s="3"/>
      <c r="Z42" s="3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3"/>
      <c r="V43" s="3"/>
      <c r="W43" s="3"/>
      <c r="X43" s="3"/>
      <c r="Y43" s="3"/>
      <c r="Z43" s="3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3"/>
      <c r="V44" s="3"/>
      <c r="W44" s="3"/>
      <c r="X44" s="3"/>
      <c r="Y44" s="3"/>
      <c r="Z44" s="3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3"/>
      <c r="V45" s="3"/>
      <c r="W45" s="3"/>
      <c r="X45" s="3"/>
      <c r="Y45" s="3"/>
      <c r="Z45" s="3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3"/>
      <c r="V46" s="3"/>
      <c r="W46" s="3"/>
      <c r="X46" s="3"/>
      <c r="Y46" s="3"/>
      <c r="Z46" s="3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3"/>
      <c r="V47" s="3"/>
      <c r="W47" s="3"/>
      <c r="X47" s="3"/>
      <c r="Y47" s="3"/>
      <c r="Z47" s="3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3"/>
      <c r="V48" s="3"/>
      <c r="W48" s="3"/>
      <c r="X48" s="3"/>
      <c r="Y48" s="3"/>
      <c r="Z48" s="3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3"/>
      <c r="V49" s="3"/>
      <c r="W49" s="3"/>
      <c r="X49" s="3"/>
      <c r="Y49" s="3"/>
      <c r="Z49" s="3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3"/>
      <c r="V50" s="3"/>
      <c r="W50" s="3"/>
      <c r="X50" s="3"/>
      <c r="Y50" s="3"/>
      <c r="Z50" s="3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3"/>
      <c r="V51" s="3"/>
      <c r="W51" s="3"/>
      <c r="X51" s="3"/>
      <c r="Y51" s="3"/>
      <c r="Z51" s="3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3"/>
      <c r="V52" s="3"/>
      <c r="W52" s="3"/>
      <c r="X52" s="3"/>
      <c r="Y52" s="3"/>
      <c r="Z52" s="3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3"/>
      <c r="V53" s="3"/>
      <c r="W53" s="3"/>
      <c r="X53" s="3"/>
      <c r="Y53" s="3"/>
      <c r="Z53" s="3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3"/>
      <c r="V54" s="3"/>
      <c r="W54" s="3"/>
      <c r="X54" s="3"/>
      <c r="Y54" s="3"/>
      <c r="Z54" s="3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3"/>
      <c r="V55" s="3"/>
      <c r="W55" s="3"/>
      <c r="X55" s="3"/>
      <c r="Y55" s="3"/>
      <c r="Z55" s="3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3"/>
      <c r="V56" s="3"/>
      <c r="W56" s="3"/>
      <c r="X56" s="3"/>
      <c r="Y56" s="3"/>
      <c r="Z56" s="3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3"/>
      <c r="V57" s="3"/>
      <c r="W57" s="3"/>
      <c r="X57" s="3"/>
      <c r="Y57" s="3"/>
      <c r="Z57" s="3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3"/>
      <c r="V58" s="3"/>
      <c r="W58" s="3"/>
      <c r="X58" s="3"/>
      <c r="Y58" s="3"/>
      <c r="Z58" s="3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3"/>
      <c r="V59" s="3"/>
      <c r="W59" s="3"/>
      <c r="X59" s="3"/>
      <c r="Y59" s="3"/>
      <c r="Z59" s="3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3"/>
      <c r="V60" s="3"/>
      <c r="W60" s="3"/>
      <c r="X60" s="3"/>
      <c r="Y60" s="3"/>
      <c r="Z60" s="3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3"/>
      <c r="V61" s="3"/>
      <c r="W61" s="3"/>
      <c r="X61" s="3"/>
      <c r="Y61" s="3"/>
      <c r="Z61" s="3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3"/>
      <c r="V62" s="3"/>
      <c r="W62" s="3"/>
      <c r="X62" s="3"/>
      <c r="Y62" s="3"/>
      <c r="Z62" s="3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3"/>
      <c r="V63" s="3"/>
      <c r="W63" s="3"/>
      <c r="X63" s="3"/>
      <c r="Y63" s="3"/>
      <c r="Z63" s="3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3"/>
      <c r="V64" s="3"/>
      <c r="W64" s="3"/>
      <c r="X64" s="3"/>
      <c r="Y64" s="3"/>
      <c r="Z64" s="3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3"/>
      <c r="V65" s="3"/>
      <c r="W65" s="3"/>
      <c r="X65" s="3"/>
      <c r="Y65" s="3"/>
      <c r="Z65" s="3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3"/>
      <c r="V66" s="3"/>
      <c r="W66" s="3"/>
      <c r="X66" s="3"/>
      <c r="Y66" s="3"/>
      <c r="Z66" s="3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3"/>
      <c r="V67" s="3"/>
      <c r="W67" s="3"/>
      <c r="X67" s="3"/>
      <c r="Y67" s="3"/>
      <c r="Z67" s="3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3"/>
      <c r="V68" s="3"/>
      <c r="W68" s="3"/>
      <c r="X68" s="3"/>
      <c r="Y68" s="3"/>
      <c r="Z68" s="3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3"/>
      <c r="V69" s="3"/>
      <c r="W69" s="3"/>
      <c r="X69" s="3"/>
      <c r="Y69" s="3"/>
      <c r="Z69" s="3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3"/>
      <c r="V70" s="3"/>
      <c r="W70" s="3"/>
      <c r="X70" s="3"/>
      <c r="Y70" s="3"/>
      <c r="Z70" s="3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3"/>
      <c r="V71" s="3"/>
      <c r="W71" s="3"/>
      <c r="X71" s="3"/>
      <c r="Y71" s="3"/>
      <c r="Z71" s="3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3"/>
      <c r="V72" s="3"/>
      <c r="W72" s="3"/>
      <c r="X72" s="3"/>
      <c r="Y72" s="3"/>
      <c r="Z72" s="3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3"/>
      <c r="V73" s="3"/>
      <c r="W73" s="3"/>
      <c r="X73" s="3"/>
      <c r="Y73" s="3"/>
      <c r="Z73" s="3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3"/>
      <c r="V74" s="3"/>
      <c r="W74" s="3"/>
      <c r="X74" s="3"/>
      <c r="Y74" s="3"/>
      <c r="Z74" s="3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3"/>
      <c r="V75" s="3"/>
      <c r="W75" s="3"/>
      <c r="X75" s="3"/>
      <c r="Y75" s="3"/>
      <c r="Z75" s="3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3"/>
      <c r="V76" s="3"/>
      <c r="W76" s="3"/>
      <c r="X76" s="3"/>
      <c r="Y76" s="3"/>
      <c r="Z76" s="3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3"/>
      <c r="V77" s="3"/>
      <c r="W77" s="3"/>
      <c r="X77" s="3"/>
      <c r="Y77" s="3"/>
      <c r="Z77" s="3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3"/>
      <c r="V78" s="3"/>
      <c r="W78" s="3"/>
      <c r="X78" s="3"/>
      <c r="Y78" s="3"/>
      <c r="Z78" s="3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3"/>
      <c r="V79" s="3"/>
      <c r="W79" s="3"/>
      <c r="X79" s="3"/>
      <c r="Y79" s="3"/>
      <c r="Z79" s="3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3"/>
      <c r="V80" s="3"/>
      <c r="W80" s="3"/>
      <c r="X80" s="3"/>
      <c r="Y80" s="3"/>
      <c r="Z80" s="3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3"/>
      <c r="V81" s="3"/>
      <c r="W81" s="3"/>
      <c r="X81" s="3"/>
      <c r="Y81" s="3"/>
      <c r="Z81" s="3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3"/>
      <c r="V82" s="3"/>
      <c r="W82" s="3"/>
      <c r="X82" s="3"/>
      <c r="Y82" s="3"/>
      <c r="Z82" s="3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3"/>
      <c r="V83" s="3"/>
      <c r="W83" s="3"/>
      <c r="X83" s="3"/>
      <c r="Y83" s="3"/>
      <c r="Z83" s="3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3"/>
      <c r="V84" s="3"/>
      <c r="W84" s="3"/>
      <c r="X84" s="3"/>
      <c r="Y84" s="3"/>
      <c r="Z84" s="3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3"/>
      <c r="V85" s="3"/>
      <c r="W85" s="3"/>
      <c r="X85" s="3"/>
      <c r="Y85" s="3"/>
      <c r="Z85" s="3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3"/>
      <c r="V86" s="3"/>
      <c r="W86" s="3"/>
      <c r="X86" s="3"/>
      <c r="Y86" s="3"/>
      <c r="Z86" s="3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3"/>
      <c r="V87" s="3"/>
      <c r="W87" s="3"/>
      <c r="X87" s="3"/>
      <c r="Y87" s="3"/>
      <c r="Z87" s="3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3"/>
      <c r="V88" s="3"/>
      <c r="W88" s="3"/>
      <c r="X88" s="3"/>
      <c r="Y88" s="3"/>
      <c r="Z88" s="3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3"/>
      <c r="V89" s="3"/>
      <c r="W89" s="3"/>
      <c r="X89" s="3"/>
      <c r="Y89" s="3"/>
      <c r="Z89" s="3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3"/>
      <c r="V90" s="3"/>
      <c r="W90" s="3"/>
      <c r="X90" s="3"/>
      <c r="Y90" s="3"/>
      <c r="Z90" s="3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3"/>
      <c r="V91" s="3"/>
      <c r="W91" s="3"/>
      <c r="X91" s="3"/>
      <c r="Y91" s="3"/>
      <c r="Z91" s="3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3"/>
      <c r="V92" s="3"/>
      <c r="W92" s="3"/>
      <c r="X92" s="3"/>
      <c r="Y92" s="3"/>
      <c r="Z92" s="3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3"/>
      <c r="V93" s="3"/>
      <c r="W93" s="3"/>
      <c r="X93" s="3"/>
      <c r="Y93" s="3"/>
      <c r="Z93" s="3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3"/>
      <c r="V95" s="3"/>
      <c r="W95" s="3"/>
      <c r="X95" s="3"/>
      <c r="Y95" s="3"/>
      <c r="Z95" s="3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3"/>
      <c r="V96" s="3"/>
      <c r="W96" s="3"/>
      <c r="X96" s="3"/>
      <c r="Y96" s="3"/>
      <c r="Z96" s="3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3"/>
      <c r="V97" s="3"/>
      <c r="W97" s="3"/>
      <c r="X97" s="3"/>
      <c r="Y97" s="3"/>
      <c r="Z97" s="3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3"/>
      <c r="V98" s="3"/>
      <c r="W98" s="3"/>
      <c r="X98" s="3"/>
      <c r="Y98" s="3"/>
      <c r="Z98" s="3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3"/>
      <c r="V99" s="3"/>
      <c r="W99" s="3"/>
      <c r="X99" s="3"/>
      <c r="Y99" s="3"/>
      <c r="Z99" s="3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3"/>
      <c r="V100" s="3"/>
      <c r="W100" s="3"/>
      <c r="X100" s="3"/>
      <c r="Y100" s="3"/>
      <c r="Z100" s="3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3"/>
      <c r="V101" s="3"/>
      <c r="W101" s="3"/>
      <c r="X101" s="3"/>
      <c r="Y101" s="3"/>
      <c r="Z101" s="3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3"/>
      <c r="V102" s="3"/>
      <c r="W102" s="3"/>
      <c r="X102" s="3"/>
      <c r="Y102" s="3"/>
      <c r="Z102" s="3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3"/>
      <c r="V103" s="3"/>
      <c r="W103" s="3"/>
      <c r="X103" s="3"/>
      <c r="Y103" s="3"/>
      <c r="Z103" s="3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3"/>
      <c r="V104" s="3"/>
      <c r="W104" s="3"/>
      <c r="X104" s="3"/>
      <c r="Y104" s="3"/>
      <c r="Z104" s="3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3"/>
      <c r="V105" s="3"/>
      <c r="W105" s="3"/>
      <c r="X105" s="3"/>
      <c r="Y105" s="3"/>
      <c r="Z105" s="3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3"/>
      <c r="V106" s="3"/>
      <c r="W106" s="3"/>
      <c r="X106" s="3"/>
      <c r="Y106" s="3"/>
      <c r="Z106" s="3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3"/>
      <c r="V107" s="3"/>
      <c r="W107" s="3"/>
      <c r="X107" s="3"/>
      <c r="Y107" s="3"/>
      <c r="Z107" s="3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3"/>
      <c r="V108" s="3"/>
      <c r="W108" s="3"/>
      <c r="X108" s="3"/>
      <c r="Y108" s="3"/>
      <c r="Z108" s="3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3"/>
      <c r="V109" s="3"/>
      <c r="W109" s="3"/>
      <c r="X109" s="3"/>
      <c r="Y109" s="3"/>
      <c r="Z109" s="3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3"/>
      <c r="V110" s="3"/>
      <c r="W110" s="3"/>
      <c r="X110" s="3"/>
      <c r="Y110" s="3"/>
      <c r="Z110" s="3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3"/>
      <c r="V111" s="3"/>
      <c r="W111" s="3"/>
      <c r="X111" s="3"/>
      <c r="Y111" s="3"/>
      <c r="Z111" s="3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3"/>
      <c r="V112" s="3"/>
      <c r="W112" s="3"/>
      <c r="X112" s="3"/>
      <c r="Y112" s="3"/>
      <c r="Z112" s="3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3"/>
      <c r="V113" s="3"/>
      <c r="W113" s="3"/>
      <c r="X113" s="3"/>
      <c r="Y113" s="3"/>
      <c r="Z113" s="3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3"/>
      <c r="V114" s="3"/>
      <c r="W114" s="3"/>
      <c r="X114" s="3"/>
      <c r="Y114" s="3"/>
      <c r="Z114" s="3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3"/>
      <c r="V115" s="3"/>
      <c r="W115" s="3"/>
      <c r="X115" s="3"/>
      <c r="Y115" s="3"/>
      <c r="Z115" s="3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3"/>
      <c r="V116" s="3"/>
      <c r="W116" s="3"/>
      <c r="X116" s="3"/>
      <c r="Y116" s="3"/>
      <c r="Z116" s="3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3"/>
      <c r="V117" s="3"/>
      <c r="W117" s="3"/>
      <c r="X117" s="3"/>
      <c r="Y117" s="3"/>
      <c r="Z117" s="3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3"/>
      <c r="V118" s="3"/>
      <c r="W118" s="3"/>
      <c r="X118" s="3"/>
      <c r="Y118" s="3"/>
      <c r="Z118" s="3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3"/>
      <c r="V119" s="3"/>
      <c r="W119" s="3"/>
      <c r="X119" s="3"/>
      <c r="Y119" s="3"/>
      <c r="Z119" s="3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3"/>
      <c r="V120" s="3"/>
      <c r="W120" s="3"/>
      <c r="X120" s="3"/>
      <c r="Y120" s="3"/>
      <c r="Z120" s="3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3"/>
      <c r="V121" s="3"/>
      <c r="W121" s="3"/>
      <c r="X121" s="3"/>
      <c r="Y121" s="3"/>
      <c r="Z121" s="3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3"/>
      <c r="V122" s="3"/>
      <c r="W122" s="3"/>
      <c r="X122" s="3"/>
      <c r="Y122" s="3"/>
      <c r="Z122" s="3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3"/>
      <c r="V123" s="3"/>
      <c r="W123" s="3"/>
      <c r="X123" s="3"/>
      <c r="Y123" s="3"/>
      <c r="Z123" s="3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3"/>
      <c r="V124" s="3"/>
      <c r="W124" s="3"/>
      <c r="X124" s="3"/>
      <c r="Y124" s="3"/>
      <c r="Z124" s="3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3"/>
      <c r="V125" s="3"/>
      <c r="W125" s="3"/>
      <c r="X125" s="3"/>
      <c r="Y125" s="3"/>
      <c r="Z125" s="3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3"/>
      <c r="V126" s="3"/>
      <c r="W126" s="3"/>
      <c r="X126" s="3"/>
      <c r="Y126" s="3"/>
      <c r="Z126" s="3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3"/>
      <c r="V127" s="3"/>
      <c r="W127" s="3"/>
      <c r="X127" s="3"/>
      <c r="Y127" s="3"/>
      <c r="Z127" s="3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3"/>
      <c r="V128" s="3"/>
      <c r="W128" s="3"/>
      <c r="X128" s="3"/>
      <c r="Y128" s="3"/>
      <c r="Z128" s="3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3"/>
      <c r="V129" s="3"/>
      <c r="W129" s="3"/>
      <c r="X129" s="3"/>
      <c r="Y129" s="3"/>
      <c r="Z129" s="3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3"/>
      <c r="V130" s="3"/>
      <c r="W130" s="3"/>
      <c r="X130" s="3"/>
      <c r="Y130" s="3"/>
      <c r="Z130" s="3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3"/>
      <c r="V131" s="3"/>
      <c r="W131" s="3"/>
      <c r="X131" s="3"/>
      <c r="Y131" s="3"/>
      <c r="Z131" s="3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3"/>
      <c r="V132" s="3"/>
      <c r="W132" s="3"/>
      <c r="X132" s="3"/>
      <c r="Y132" s="3"/>
      <c r="Z132" s="3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3"/>
      <c r="V133" s="3"/>
      <c r="W133" s="3"/>
      <c r="X133" s="3"/>
      <c r="Y133" s="3"/>
      <c r="Z133" s="3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3"/>
      <c r="V134" s="3"/>
      <c r="W134" s="3"/>
      <c r="X134" s="3"/>
      <c r="Y134" s="3"/>
      <c r="Z134" s="3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3"/>
      <c r="V135" s="3"/>
      <c r="W135" s="3"/>
      <c r="X135" s="3"/>
      <c r="Y135" s="3"/>
      <c r="Z135" s="3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3"/>
      <c r="V136" s="3"/>
      <c r="W136" s="3"/>
      <c r="X136" s="3"/>
      <c r="Y136" s="3"/>
      <c r="Z136" s="3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3"/>
      <c r="V137" s="3"/>
      <c r="W137" s="3"/>
      <c r="X137" s="3"/>
      <c r="Y137" s="3"/>
      <c r="Z137" s="3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3"/>
      <c r="V138" s="3"/>
      <c r="W138" s="3"/>
      <c r="X138" s="3"/>
      <c r="Y138" s="3"/>
      <c r="Z138" s="3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3"/>
      <c r="V139" s="3"/>
      <c r="W139" s="3"/>
      <c r="X139" s="3"/>
      <c r="Y139" s="3"/>
      <c r="Z139" s="3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3"/>
      <c r="V140" s="3"/>
      <c r="W140" s="3"/>
      <c r="X140" s="3"/>
      <c r="Y140" s="3"/>
      <c r="Z140" s="3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3"/>
      <c r="V141" s="3"/>
      <c r="W141" s="3"/>
      <c r="X141" s="3"/>
      <c r="Y141" s="3"/>
      <c r="Z141" s="3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3"/>
      <c r="V142" s="3"/>
      <c r="W142" s="3"/>
      <c r="X142" s="3"/>
      <c r="Y142" s="3"/>
      <c r="Z142" s="3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3"/>
      <c r="V143" s="3"/>
      <c r="W143" s="3"/>
      <c r="X143" s="3"/>
      <c r="Y143" s="3"/>
      <c r="Z143" s="3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3"/>
      <c r="V144" s="3"/>
      <c r="W144" s="3"/>
      <c r="X144" s="3"/>
      <c r="Y144" s="3"/>
      <c r="Z144" s="3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3"/>
      <c r="V145" s="3"/>
      <c r="W145" s="3"/>
      <c r="X145" s="3"/>
      <c r="Y145" s="3"/>
      <c r="Z145" s="3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3"/>
      <c r="V146" s="3"/>
      <c r="W146" s="3"/>
      <c r="X146" s="3"/>
      <c r="Y146" s="3"/>
      <c r="Z146" s="3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3"/>
      <c r="V147" s="3"/>
      <c r="W147" s="3"/>
      <c r="X147" s="3"/>
      <c r="Y147" s="3"/>
      <c r="Z147" s="3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3"/>
      <c r="V148" s="3"/>
      <c r="W148" s="3"/>
      <c r="X148" s="3"/>
      <c r="Y148" s="3"/>
      <c r="Z148" s="3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3"/>
      <c r="V149" s="3"/>
      <c r="W149" s="3"/>
      <c r="X149" s="3"/>
      <c r="Y149" s="3"/>
      <c r="Z149" s="3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3"/>
      <c r="V150" s="3"/>
      <c r="W150" s="3"/>
      <c r="X150" s="3"/>
      <c r="Y150" s="3"/>
      <c r="Z150" s="3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3"/>
      <c r="V151" s="3"/>
      <c r="W151" s="3"/>
      <c r="X151" s="3"/>
      <c r="Y151" s="3"/>
      <c r="Z151" s="3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3"/>
      <c r="V152" s="3"/>
      <c r="W152" s="3"/>
      <c r="X152" s="3"/>
      <c r="Y152" s="3"/>
      <c r="Z152" s="3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3"/>
      <c r="V153" s="3"/>
      <c r="W153" s="3"/>
      <c r="X153" s="3"/>
      <c r="Y153" s="3"/>
      <c r="Z153" s="3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3"/>
      <c r="V154" s="3"/>
      <c r="W154" s="3"/>
      <c r="X154" s="3"/>
      <c r="Y154" s="3"/>
      <c r="Z154" s="3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3"/>
      <c r="V155" s="3"/>
      <c r="W155" s="3"/>
      <c r="X155" s="3"/>
      <c r="Y155" s="3"/>
      <c r="Z155" s="3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3"/>
      <c r="V156" s="3"/>
      <c r="W156" s="3"/>
      <c r="X156" s="3"/>
      <c r="Y156" s="3"/>
      <c r="Z156" s="3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3"/>
      <c r="V157" s="3"/>
      <c r="W157" s="3"/>
      <c r="X157" s="3"/>
      <c r="Y157" s="3"/>
      <c r="Z157" s="3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3"/>
      <c r="V158" s="3"/>
      <c r="W158" s="3"/>
      <c r="X158" s="3"/>
      <c r="Y158" s="3"/>
      <c r="Z158" s="3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3"/>
      <c r="V159" s="3"/>
      <c r="W159" s="3"/>
      <c r="X159" s="3"/>
      <c r="Y159" s="3"/>
      <c r="Z159" s="3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3"/>
      <c r="V160" s="3"/>
      <c r="W160" s="3"/>
      <c r="X160" s="3"/>
      <c r="Y160" s="3"/>
      <c r="Z160" s="3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3"/>
      <c r="V161" s="3"/>
      <c r="W161" s="3"/>
      <c r="X161" s="3"/>
      <c r="Y161" s="3"/>
      <c r="Z161" s="3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3"/>
      <c r="V162" s="3"/>
      <c r="W162" s="3"/>
      <c r="X162" s="3"/>
      <c r="Y162" s="3"/>
      <c r="Z162" s="3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3"/>
      <c r="V163" s="3"/>
      <c r="W163" s="3"/>
      <c r="X163" s="3"/>
      <c r="Y163" s="3"/>
      <c r="Z163" s="3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3"/>
      <c r="V164" s="3"/>
      <c r="W164" s="3"/>
      <c r="X164" s="3"/>
      <c r="Y164" s="3"/>
      <c r="Z164" s="3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3"/>
      <c r="V165" s="3"/>
      <c r="W165" s="3"/>
      <c r="X165" s="3"/>
      <c r="Y165" s="3"/>
      <c r="Z165" s="3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3"/>
      <c r="V166" s="3"/>
      <c r="W166" s="3"/>
      <c r="X166" s="3"/>
      <c r="Y166" s="3"/>
      <c r="Z166" s="3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3"/>
      <c r="V167" s="3"/>
      <c r="W167" s="3"/>
      <c r="X167" s="3"/>
      <c r="Y167" s="3"/>
      <c r="Z167" s="3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3"/>
      <c r="V168" s="3"/>
      <c r="W168" s="3"/>
      <c r="X168" s="3"/>
      <c r="Y168" s="3"/>
      <c r="Z168" s="3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3"/>
      <c r="V169" s="3"/>
      <c r="W169" s="3"/>
      <c r="X169" s="3"/>
      <c r="Y169" s="3"/>
      <c r="Z169" s="3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3"/>
      <c r="V170" s="3"/>
      <c r="W170" s="3"/>
      <c r="X170" s="3"/>
      <c r="Y170" s="3"/>
      <c r="Z170" s="3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3"/>
      <c r="V171" s="3"/>
      <c r="W171" s="3"/>
      <c r="X171" s="3"/>
      <c r="Y171" s="3"/>
      <c r="Z171" s="3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3"/>
      <c r="V172" s="3"/>
      <c r="W172" s="3"/>
      <c r="X172" s="3"/>
      <c r="Y172" s="3"/>
      <c r="Z172" s="3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3"/>
      <c r="V173" s="3"/>
      <c r="W173" s="3"/>
      <c r="X173" s="3"/>
      <c r="Y173" s="3"/>
      <c r="Z173" s="3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3"/>
      <c r="V174" s="3"/>
      <c r="W174" s="3"/>
      <c r="X174" s="3"/>
      <c r="Y174" s="3"/>
      <c r="Z174" s="3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3"/>
      <c r="V175" s="3"/>
      <c r="W175" s="3"/>
      <c r="X175" s="3"/>
      <c r="Y175" s="3"/>
      <c r="Z175" s="3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3"/>
      <c r="V176" s="3"/>
      <c r="W176" s="3"/>
      <c r="X176" s="3"/>
      <c r="Y176" s="3"/>
      <c r="Z176" s="3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3"/>
      <c r="V177" s="3"/>
      <c r="W177" s="3"/>
      <c r="X177" s="3"/>
      <c r="Y177" s="3"/>
      <c r="Z177" s="3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3"/>
      <c r="V178" s="3"/>
      <c r="W178" s="3"/>
      <c r="X178" s="3"/>
      <c r="Y178" s="3"/>
      <c r="Z178" s="3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3"/>
      <c r="V180" s="3"/>
      <c r="W180" s="3"/>
      <c r="X180" s="3"/>
      <c r="Y180" s="3"/>
      <c r="Z180" s="3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3"/>
      <c r="V181" s="3"/>
      <c r="W181" s="3"/>
      <c r="X181" s="3"/>
      <c r="Y181" s="3"/>
      <c r="Z181" s="3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3"/>
      <c r="V182" s="3"/>
      <c r="W182" s="3"/>
      <c r="X182" s="3"/>
      <c r="Y182" s="3"/>
      <c r="Z182" s="3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3"/>
      <c r="V183" s="3"/>
      <c r="W183" s="3"/>
      <c r="X183" s="3"/>
      <c r="Y183" s="3"/>
      <c r="Z183" s="3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3"/>
      <c r="V184" s="3"/>
      <c r="W184" s="3"/>
      <c r="X184" s="3"/>
      <c r="Y184" s="3"/>
      <c r="Z184" s="3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3"/>
      <c r="V185" s="3"/>
      <c r="W185" s="3"/>
      <c r="X185" s="3"/>
      <c r="Y185" s="3"/>
      <c r="Z185" s="3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3"/>
      <c r="V186" s="3"/>
      <c r="W186" s="3"/>
      <c r="X186" s="3"/>
      <c r="Y186" s="3"/>
      <c r="Z186" s="3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3"/>
      <c r="V187" s="3"/>
      <c r="W187" s="3"/>
      <c r="X187" s="3"/>
      <c r="Y187" s="3"/>
      <c r="Z187" s="3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3"/>
      <c r="V188" s="3"/>
      <c r="W188" s="3"/>
      <c r="X188" s="3"/>
      <c r="Y188" s="3"/>
      <c r="Z188" s="3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3"/>
      <c r="V189" s="3"/>
      <c r="W189" s="3"/>
      <c r="X189" s="3"/>
      <c r="Y189" s="3"/>
      <c r="Z189" s="3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3"/>
      <c r="V190" s="3"/>
      <c r="W190" s="3"/>
      <c r="X190" s="3"/>
      <c r="Y190" s="3"/>
      <c r="Z190" s="3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3"/>
      <c r="V191" s="3"/>
      <c r="W191" s="3"/>
      <c r="X191" s="3"/>
      <c r="Y191" s="3"/>
      <c r="Z191" s="3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3"/>
      <c r="V192" s="3"/>
      <c r="W192" s="3"/>
      <c r="X192" s="3"/>
      <c r="Y192" s="3"/>
      <c r="Z192" s="3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3"/>
      <c r="V193" s="3"/>
      <c r="W193" s="3"/>
      <c r="X193" s="3"/>
      <c r="Y193" s="3"/>
      <c r="Z193" s="3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3"/>
      <c r="V194" s="3"/>
      <c r="W194" s="3"/>
      <c r="X194" s="3"/>
      <c r="Y194" s="3"/>
      <c r="Z194" s="3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3"/>
      <c r="V195" s="3"/>
      <c r="W195" s="3"/>
      <c r="X195" s="3"/>
      <c r="Y195" s="3"/>
      <c r="Z195" s="3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3"/>
      <c r="V196" s="3"/>
      <c r="W196" s="3"/>
      <c r="X196" s="3"/>
      <c r="Y196" s="3"/>
      <c r="Z196" s="3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3"/>
      <c r="V197" s="3"/>
      <c r="W197" s="3"/>
      <c r="X197" s="3"/>
      <c r="Y197" s="3"/>
      <c r="Z197" s="3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3"/>
      <c r="V198" s="3"/>
      <c r="W198" s="3"/>
      <c r="X198" s="3"/>
      <c r="Y198" s="3"/>
      <c r="Z198" s="3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3"/>
      <c r="V199" s="3"/>
      <c r="W199" s="3"/>
      <c r="X199" s="3"/>
      <c r="Y199" s="3"/>
      <c r="Z199" s="3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3"/>
      <c r="V200" s="3"/>
      <c r="W200" s="3"/>
      <c r="X200" s="3"/>
      <c r="Y200" s="3"/>
      <c r="Z200" s="3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3"/>
      <c r="V201" s="3"/>
      <c r="W201" s="3"/>
      <c r="X201" s="3"/>
      <c r="Y201" s="3"/>
      <c r="Z201" s="3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3"/>
      <c r="V202" s="3"/>
      <c r="W202" s="3"/>
      <c r="X202" s="3"/>
      <c r="Y202" s="3"/>
      <c r="Z202" s="3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3"/>
      <c r="V203" s="3"/>
      <c r="W203" s="3"/>
      <c r="X203" s="3"/>
      <c r="Y203" s="3"/>
      <c r="Z203" s="3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3"/>
      <c r="V204" s="3"/>
      <c r="W204" s="3"/>
      <c r="X204" s="3"/>
      <c r="Y204" s="3"/>
      <c r="Z204" s="3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3"/>
      <c r="V205" s="3"/>
      <c r="W205" s="3"/>
      <c r="X205" s="3"/>
      <c r="Y205" s="3"/>
      <c r="Z205" s="3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3"/>
      <c r="V206" s="3"/>
      <c r="W206" s="3"/>
      <c r="X206" s="3"/>
      <c r="Y206" s="3"/>
      <c r="Z206" s="3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3"/>
      <c r="V207" s="3"/>
      <c r="W207" s="3"/>
      <c r="X207" s="3"/>
      <c r="Y207" s="3"/>
      <c r="Z207" s="3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3"/>
      <c r="V208" s="3"/>
      <c r="W208" s="3"/>
      <c r="X208" s="3"/>
      <c r="Y208" s="3"/>
      <c r="Z208" s="3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3"/>
      <c r="V209" s="3"/>
      <c r="W209" s="3"/>
      <c r="X209" s="3"/>
      <c r="Y209" s="3"/>
      <c r="Z209" s="3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3"/>
      <c r="V210" s="3"/>
      <c r="W210" s="3"/>
      <c r="X210" s="3"/>
      <c r="Y210" s="3"/>
      <c r="Z210" s="3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3"/>
      <c r="V211" s="3"/>
      <c r="W211" s="3"/>
      <c r="X211" s="3"/>
      <c r="Y211" s="3"/>
      <c r="Z211" s="3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3"/>
      <c r="V212" s="3"/>
      <c r="W212" s="3"/>
      <c r="X212" s="3"/>
      <c r="Y212" s="3"/>
      <c r="Z212" s="3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3"/>
      <c r="V213" s="3"/>
      <c r="W213" s="3"/>
      <c r="X213" s="3"/>
      <c r="Y213" s="3"/>
      <c r="Z213" s="3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3"/>
      <c r="V214" s="3"/>
      <c r="W214" s="3"/>
      <c r="X214" s="3"/>
      <c r="Y214" s="3"/>
      <c r="Z214" s="3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3"/>
      <c r="V215" s="3"/>
      <c r="W215" s="3"/>
      <c r="X215" s="3"/>
      <c r="Y215" s="3"/>
      <c r="Z215" s="3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3"/>
      <c r="V216" s="3"/>
      <c r="W216" s="3"/>
      <c r="X216" s="3"/>
      <c r="Y216" s="3"/>
      <c r="Z216" s="3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3"/>
      <c r="V217" s="3"/>
      <c r="W217" s="3"/>
      <c r="X217" s="3"/>
      <c r="Y217" s="3"/>
      <c r="Z217" s="3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3"/>
      <c r="V218" s="3"/>
      <c r="W218" s="3"/>
      <c r="X218" s="3"/>
      <c r="Y218" s="3"/>
      <c r="Z218" s="3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3"/>
      <c r="V219" s="3"/>
      <c r="W219" s="3"/>
      <c r="X219" s="3"/>
      <c r="Y219" s="3"/>
      <c r="Z219" s="3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3"/>
      <c r="V220" s="3"/>
      <c r="W220" s="3"/>
      <c r="X220" s="3"/>
      <c r="Y220" s="3"/>
      <c r="Z220" s="3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3"/>
      <c r="V221" s="3"/>
      <c r="W221" s="3"/>
      <c r="X221" s="3"/>
      <c r="Y221" s="3"/>
      <c r="Z221" s="3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3"/>
      <c r="V222" s="3"/>
      <c r="W222" s="3"/>
      <c r="X222" s="3"/>
      <c r="Y222" s="3"/>
      <c r="Z222" s="3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3"/>
      <c r="V223" s="3"/>
      <c r="W223" s="3"/>
      <c r="X223" s="3"/>
      <c r="Y223" s="3"/>
      <c r="Z223" s="3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3"/>
      <c r="V224" s="3"/>
      <c r="W224" s="3"/>
      <c r="X224" s="3"/>
      <c r="Y224" s="3"/>
      <c r="Z224" s="3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3"/>
      <c r="V225" s="3"/>
      <c r="W225" s="3"/>
      <c r="X225" s="3"/>
      <c r="Y225" s="3"/>
      <c r="Z225" s="3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3"/>
      <c r="V226" s="3"/>
      <c r="W226" s="3"/>
      <c r="X226" s="3"/>
      <c r="Y226" s="3"/>
      <c r="Z226" s="3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3"/>
      <c r="V227" s="3"/>
      <c r="W227" s="3"/>
      <c r="X227" s="3"/>
      <c r="Y227" s="3"/>
      <c r="Z227" s="3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3"/>
      <c r="V228" s="3"/>
      <c r="W228" s="3"/>
      <c r="X228" s="3"/>
      <c r="Y228" s="3"/>
      <c r="Z228" s="3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3"/>
      <c r="V229" s="3"/>
      <c r="W229" s="3"/>
      <c r="X229" s="3"/>
      <c r="Y229" s="3"/>
      <c r="Z229" s="3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3"/>
      <c r="V230" s="3"/>
      <c r="W230" s="3"/>
      <c r="X230" s="3"/>
      <c r="Y230" s="3"/>
      <c r="Z230" s="3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3"/>
      <c r="V231" s="3"/>
      <c r="W231" s="3"/>
      <c r="X231" s="3"/>
      <c r="Y231" s="3"/>
      <c r="Z231" s="3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3"/>
      <c r="V232" s="3"/>
      <c r="W232" s="3"/>
      <c r="X232" s="3"/>
      <c r="Y232" s="3"/>
      <c r="Z232" s="3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3"/>
      <c r="V233" s="3"/>
      <c r="W233" s="3"/>
      <c r="X233" s="3"/>
      <c r="Y233" s="3"/>
      <c r="Z233" s="3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3"/>
      <c r="V234" s="3"/>
      <c r="W234" s="3"/>
      <c r="X234" s="3"/>
      <c r="Y234" s="3"/>
      <c r="Z234" s="3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3"/>
      <c r="V235" s="3"/>
      <c r="W235" s="3"/>
      <c r="X235" s="3"/>
      <c r="Y235" s="3"/>
      <c r="Z235" s="3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3"/>
      <c r="V236" s="3"/>
      <c r="W236" s="3"/>
      <c r="X236" s="3"/>
      <c r="Y236" s="3"/>
      <c r="Z236" s="3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3"/>
      <c r="V237" s="3"/>
      <c r="W237" s="3"/>
      <c r="X237" s="3"/>
      <c r="Y237" s="3"/>
      <c r="Z237" s="3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3"/>
      <c r="V238" s="3"/>
      <c r="W238" s="3"/>
      <c r="X238" s="3"/>
      <c r="Y238" s="3"/>
      <c r="Z238" s="3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3"/>
      <c r="V239" s="3"/>
      <c r="W239" s="3"/>
      <c r="X239" s="3"/>
      <c r="Y239" s="3"/>
      <c r="Z239" s="3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3"/>
      <c r="V240" s="3"/>
      <c r="W240" s="3"/>
      <c r="X240" s="3"/>
      <c r="Y240" s="3"/>
      <c r="Z240" s="3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3"/>
      <c r="V241" s="3"/>
      <c r="W241" s="3"/>
      <c r="X241" s="3"/>
      <c r="Y241" s="3"/>
      <c r="Z241" s="3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3"/>
      <c r="V242" s="3"/>
      <c r="W242" s="3"/>
      <c r="X242" s="3"/>
      <c r="Y242" s="3"/>
      <c r="Z242" s="3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3"/>
      <c r="V243" s="3"/>
      <c r="W243" s="3"/>
      <c r="X243" s="3"/>
      <c r="Y243" s="3"/>
      <c r="Z243" s="3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3"/>
      <c r="V244" s="3"/>
      <c r="W244" s="3"/>
      <c r="X244" s="3"/>
      <c r="Y244" s="3"/>
      <c r="Z244" s="3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3"/>
      <c r="V245" s="3"/>
      <c r="W245" s="3"/>
      <c r="X245" s="3"/>
      <c r="Y245" s="3"/>
      <c r="Z245" s="3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3"/>
      <c r="V246" s="3"/>
      <c r="W246" s="3"/>
      <c r="X246" s="3"/>
      <c r="Y246" s="3"/>
      <c r="Z246" s="3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3"/>
      <c r="V247" s="3"/>
      <c r="W247" s="3"/>
      <c r="X247" s="3"/>
      <c r="Y247" s="3"/>
      <c r="Z247" s="3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3"/>
      <c r="V248" s="3"/>
      <c r="W248" s="3"/>
      <c r="X248" s="3"/>
      <c r="Y248" s="3"/>
      <c r="Z248" s="3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3"/>
      <c r="V249" s="3"/>
      <c r="W249" s="3"/>
      <c r="X249" s="3"/>
      <c r="Y249" s="3"/>
      <c r="Z249" s="3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3"/>
      <c r="V250" s="3"/>
      <c r="W250" s="3"/>
      <c r="X250" s="3"/>
      <c r="Y250" s="3"/>
      <c r="Z250" s="3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3"/>
      <c r="V251" s="3"/>
      <c r="W251" s="3"/>
      <c r="X251" s="3"/>
      <c r="Y251" s="3"/>
      <c r="Z251" s="3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3"/>
      <c r="V252" s="3"/>
      <c r="W252" s="3"/>
      <c r="X252" s="3"/>
      <c r="Y252" s="3"/>
      <c r="Z252" s="3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3"/>
      <c r="V253" s="3"/>
      <c r="W253" s="3"/>
      <c r="X253" s="3"/>
      <c r="Y253" s="3"/>
      <c r="Z253" s="3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3"/>
      <c r="V254" s="3"/>
      <c r="W254" s="3"/>
      <c r="X254" s="3"/>
      <c r="Y254" s="3"/>
      <c r="Z254" s="3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3"/>
      <c r="V255" s="3"/>
      <c r="W255" s="3"/>
      <c r="X255" s="3"/>
      <c r="Y255" s="3"/>
      <c r="Z255" s="3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3"/>
      <c r="V256" s="3"/>
      <c r="W256" s="3"/>
      <c r="X256" s="3"/>
      <c r="Y256" s="3"/>
      <c r="Z256" s="3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3"/>
      <c r="V257" s="3"/>
      <c r="W257" s="3"/>
      <c r="X257" s="3"/>
      <c r="Y257" s="3"/>
      <c r="Z257" s="3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3"/>
      <c r="V258" s="3"/>
      <c r="W258" s="3"/>
      <c r="X258" s="3"/>
      <c r="Y258" s="3"/>
      <c r="Z258" s="3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3"/>
      <c r="V259" s="3"/>
      <c r="W259" s="3"/>
      <c r="X259" s="3"/>
      <c r="Y259" s="3"/>
      <c r="Z259" s="3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3"/>
      <c r="V260" s="3"/>
      <c r="W260" s="3"/>
      <c r="X260" s="3"/>
      <c r="Y260" s="3"/>
      <c r="Z260" s="3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3"/>
      <c r="V261" s="3"/>
      <c r="W261" s="3"/>
      <c r="X261" s="3"/>
      <c r="Y261" s="3"/>
      <c r="Z261" s="3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3"/>
      <c r="V262" s="3"/>
      <c r="W262" s="3"/>
      <c r="X262" s="3"/>
      <c r="Y262" s="3"/>
      <c r="Z262" s="3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3"/>
      <c r="V263" s="3"/>
      <c r="W263" s="3"/>
      <c r="X263" s="3"/>
      <c r="Y263" s="3"/>
      <c r="Z263" s="3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3"/>
      <c r="V264" s="3"/>
      <c r="W264" s="3"/>
      <c r="X264" s="3"/>
      <c r="Y264" s="3"/>
      <c r="Z264" s="3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3"/>
      <c r="V265" s="3"/>
      <c r="W265" s="3"/>
      <c r="X265" s="3"/>
      <c r="Y265" s="3"/>
      <c r="Z265" s="3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3"/>
      <c r="V266" s="3"/>
      <c r="W266" s="3"/>
      <c r="X266" s="3"/>
      <c r="Y266" s="3"/>
      <c r="Z266" s="3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3"/>
      <c r="V267" s="3"/>
      <c r="W267" s="3"/>
      <c r="X267" s="3"/>
      <c r="Y267" s="3"/>
      <c r="Z267" s="3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3"/>
      <c r="V268" s="3"/>
      <c r="W268" s="3"/>
      <c r="X268" s="3"/>
      <c r="Y268" s="3"/>
      <c r="Z268" s="3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3"/>
      <c r="V269" s="3"/>
      <c r="W269" s="3"/>
      <c r="X269" s="3"/>
      <c r="Y269" s="3"/>
      <c r="Z269" s="3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3"/>
      <c r="V270" s="3"/>
      <c r="W270" s="3"/>
      <c r="X270" s="3"/>
      <c r="Y270" s="3"/>
      <c r="Z270" s="3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3"/>
      <c r="V271" s="3"/>
      <c r="W271" s="3"/>
      <c r="X271" s="3"/>
      <c r="Y271" s="3"/>
      <c r="Z271" s="3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3"/>
      <c r="V272" s="3"/>
      <c r="W272" s="3"/>
      <c r="X272" s="3"/>
      <c r="Y272" s="3"/>
      <c r="Z272" s="3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3"/>
      <c r="V273" s="3"/>
      <c r="W273" s="3"/>
      <c r="X273" s="3"/>
      <c r="Y273" s="3"/>
      <c r="Z273" s="3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3"/>
      <c r="V274" s="3"/>
      <c r="W274" s="3"/>
      <c r="X274" s="3"/>
      <c r="Y274" s="3"/>
      <c r="Z274" s="3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3"/>
      <c r="V275" s="3"/>
      <c r="W275" s="3"/>
      <c r="X275" s="3"/>
      <c r="Y275" s="3"/>
      <c r="Z275" s="3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3"/>
      <c r="V276" s="3"/>
      <c r="W276" s="3"/>
      <c r="X276" s="3"/>
      <c r="Y276" s="3"/>
      <c r="Z276" s="3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3"/>
      <c r="V277" s="3"/>
      <c r="W277" s="3"/>
      <c r="X277" s="3"/>
      <c r="Y277" s="3"/>
      <c r="Z277" s="3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3"/>
      <c r="V278" s="3"/>
      <c r="W278" s="3"/>
      <c r="X278" s="3"/>
      <c r="Y278" s="3"/>
      <c r="Z278" s="3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3"/>
      <c r="V279" s="3"/>
      <c r="W279" s="3"/>
      <c r="X279" s="3"/>
      <c r="Y279" s="3"/>
      <c r="Z279" s="3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3"/>
      <c r="V280" s="3"/>
      <c r="W280" s="3"/>
      <c r="X280" s="3"/>
      <c r="Y280" s="3"/>
      <c r="Z280" s="3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3"/>
      <c r="V281" s="3"/>
      <c r="W281" s="3"/>
      <c r="X281" s="3"/>
      <c r="Y281" s="3"/>
      <c r="Z281" s="3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3"/>
      <c r="V282" s="3"/>
      <c r="W282" s="3"/>
      <c r="X282" s="3"/>
      <c r="Y282" s="3"/>
      <c r="Z282" s="3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3"/>
      <c r="V283" s="3"/>
      <c r="W283" s="3"/>
      <c r="X283" s="3"/>
      <c r="Y283" s="3"/>
      <c r="Z283" s="3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3"/>
      <c r="V284" s="3"/>
      <c r="W284" s="3"/>
      <c r="X284" s="3"/>
      <c r="Y284" s="3"/>
      <c r="Z284" s="3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3"/>
      <c r="V285" s="3"/>
      <c r="W285" s="3"/>
      <c r="X285" s="3"/>
      <c r="Y285" s="3"/>
      <c r="Z285" s="3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3"/>
      <c r="V286" s="3"/>
      <c r="W286" s="3"/>
      <c r="X286" s="3"/>
      <c r="Y286" s="3"/>
      <c r="Z286" s="3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3"/>
      <c r="V287" s="3"/>
      <c r="W287" s="3"/>
      <c r="X287" s="3"/>
      <c r="Y287" s="3"/>
      <c r="Z287" s="3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3"/>
      <c r="V288" s="3"/>
      <c r="W288" s="3"/>
      <c r="X288" s="3"/>
      <c r="Y288" s="3"/>
      <c r="Z288" s="3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3"/>
      <c r="V289" s="3"/>
      <c r="W289" s="3"/>
      <c r="X289" s="3"/>
      <c r="Y289" s="3"/>
      <c r="Z289" s="3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3"/>
      <c r="V290" s="3"/>
      <c r="W290" s="3"/>
      <c r="X290" s="3"/>
      <c r="Y290" s="3"/>
      <c r="Z290" s="3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3"/>
      <c r="V291" s="3"/>
      <c r="W291" s="3"/>
      <c r="X291" s="3"/>
      <c r="Y291" s="3"/>
      <c r="Z291" s="3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3"/>
      <c r="V292" s="3"/>
      <c r="W292" s="3"/>
      <c r="X292" s="3"/>
      <c r="Y292" s="3"/>
      <c r="Z292" s="3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3"/>
      <c r="V293" s="3"/>
      <c r="W293" s="3"/>
      <c r="X293" s="3"/>
      <c r="Y293" s="3"/>
      <c r="Z293" s="3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3"/>
      <c r="V294" s="3"/>
      <c r="W294" s="3"/>
      <c r="X294" s="3"/>
      <c r="Y294" s="3"/>
      <c r="Z294" s="3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3"/>
      <c r="V295" s="3"/>
      <c r="W295" s="3"/>
      <c r="X295" s="3"/>
      <c r="Y295" s="3"/>
      <c r="Z295" s="3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3"/>
      <c r="V296" s="3"/>
      <c r="W296" s="3"/>
      <c r="X296" s="3"/>
      <c r="Y296" s="3"/>
      <c r="Z296" s="3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3"/>
      <c r="V297" s="3"/>
      <c r="W297" s="3"/>
      <c r="X297" s="3"/>
      <c r="Y297" s="3"/>
      <c r="Z297" s="3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3"/>
      <c r="V298" s="3"/>
      <c r="W298" s="3"/>
      <c r="X298" s="3"/>
      <c r="Y298" s="3"/>
      <c r="Z298" s="3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3"/>
      <c r="V299" s="3"/>
      <c r="W299" s="3"/>
      <c r="X299" s="3"/>
      <c r="Y299" s="3"/>
      <c r="Z299" s="3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3"/>
      <c r="V300" s="3"/>
      <c r="W300" s="3"/>
      <c r="X300" s="3"/>
      <c r="Y300" s="3"/>
      <c r="Z300" s="3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3"/>
      <c r="V301" s="3"/>
      <c r="W301" s="3"/>
      <c r="X301" s="3"/>
      <c r="Y301" s="3"/>
      <c r="Z301" s="3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3"/>
      <c r="V302" s="3"/>
      <c r="W302" s="3"/>
      <c r="X302" s="3"/>
      <c r="Y302" s="3"/>
      <c r="Z302" s="3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3"/>
      <c r="V303" s="3"/>
      <c r="W303" s="3"/>
      <c r="X303" s="3"/>
      <c r="Y303" s="3"/>
      <c r="Z303" s="3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3"/>
      <c r="V304" s="3"/>
      <c r="W304" s="3"/>
      <c r="X304" s="3"/>
      <c r="Y304" s="3"/>
      <c r="Z304" s="3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3"/>
      <c r="V305" s="3"/>
      <c r="W305" s="3"/>
      <c r="X305" s="3"/>
      <c r="Y305" s="3"/>
      <c r="Z305" s="3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3"/>
      <c r="V306" s="3"/>
      <c r="W306" s="3"/>
      <c r="X306" s="3"/>
      <c r="Y306" s="3"/>
      <c r="Z306" s="3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3"/>
      <c r="V307" s="3"/>
      <c r="W307" s="3"/>
      <c r="X307" s="3"/>
      <c r="Y307" s="3"/>
      <c r="Z307" s="3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3"/>
      <c r="V308" s="3"/>
      <c r="W308" s="3"/>
      <c r="X308" s="3"/>
      <c r="Y308" s="3"/>
      <c r="Z308" s="3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3"/>
      <c r="V309" s="3"/>
      <c r="W309" s="3"/>
      <c r="X309" s="3"/>
      <c r="Y309" s="3"/>
      <c r="Z309" s="3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3"/>
      <c r="V310" s="3"/>
      <c r="W310" s="3"/>
      <c r="X310" s="3"/>
      <c r="Y310" s="3"/>
      <c r="Z310" s="3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3"/>
      <c r="V311" s="3"/>
      <c r="W311" s="3"/>
      <c r="X311" s="3"/>
      <c r="Y311" s="3"/>
      <c r="Z311" s="3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3"/>
      <c r="V312" s="3"/>
      <c r="W312" s="3"/>
      <c r="X312" s="3"/>
      <c r="Y312" s="3"/>
      <c r="Z312" s="3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3"/>
      <c r="V313" s="3"/>
      <c r="W313" s="3"/>
      <c r="X313" s="3"/>
      <c r="Y313" s="3"/>
      <c r="Z313" s="3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3"/>
      <c r="V314" s="3"/>
      <c r="W314" s="3"/>
      <c r="X314" s="3"/>
      <c r="Y314" s="3"/>
      <c r="Z314" s="3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3"/>
      <c r="V315" s="3"/>
      <c r="W315" s="3"/>
      <c r="X315" s="3"/>
      <c r="Y315" s="3"/>
      <c r="Z315" s="3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3"/>
      <c r="V316" s="3"/>
      <c r="W316" s="3"/>
      <c r="X316" s="3"/>
      <c r="Y316" s="3"/>
      <c r="Z316" s="3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3"/>
      <c r="V317" s="3"/>
      <c r="W317" s="3"/>
      <c r="X317" s="3"/>
      <c r="Y317" s="3"/>
      <c r="Z317" s="3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3"/>
      <c r="V318" s="3"/>
      <c r="W318" s="3"/>
      <c r="X318" s="3"/>
      <c r="Y318" s="3"/>
      <c r="Z318" s="3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3"/>
      <c r="V319" s="3"/>
      <c r="W319" s="3"/>
      <c r="X319" s="3"/>
      <c r="Y319" s="3"/>
      <c r="Z319" s="3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3"/>
      <c r="V320" s="3"/>
      <c r="W320" s="3"/>
      <c r="X320" s="3"/>
      <c r="Y320" s="3"/>
      <c r="Z320" s="3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3"/>
      <c r="V321" s="3"/>
      <c r="W321" s="3"/>
      <c r="X321" s="3"/>
      <c r="Y321" s="3"/>
      <c r="Z321" s="3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3"/>
      <c r="V322" s="3"/>
      <c r="W322" s="3"/>
      <c r="X322" s="3"/>
      <c r="Y322" s="3"/>
      <c r="Z322" s="3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3"/>
      <c r="V323" s="3"/>
      <c r="W323" s="3"/>
      <c r="X323" s="3"/>
      <c r="Y323" s="3"/>
      <c r="Z323" s="3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3"/>
      <c r="V324" s="3"/>
      <c r="W324" s="3"/>
      <c r="X324" s="3"/>
      <c r="Y324" s="3"/>
      <c r="Z324" s="3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3"/>
      <c r="V325" s="3"/>
      <c r="W325" s="3"/>
      <c r="X325" s="3"/>
      <c r="Y325" s="3"/>
      <c r="Z325" s="3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3"/>
      <c r="V326" s="3"/>
      <c r="W326" s="3"/>
      <c r="X326" s="3"/>
      <c r="Y326" s="3"/>
      <c r="Z326" s="3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3"/>
      <c r="V327" s="3"/>
      <c r="W327" s="3"/>
      <c r="X327" s="3"/>
      <c r="Y327" s="3"/>
      <c r="Z327" s="3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3"/>
      <c r="V328" s="3"/>
      <c r="W328" s="3"/>
      <c r="X328" s="3"/>
      <c r="Y328" s="3"/>
      <c r="Z328" s="3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3"/>
      <c r="V329" s="3"/>
      <c r="W329" s="3"/>
      <c r="X329" s="3"/>
      <c r="Y329" s="3"/>
      <c r="Z329" s="3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3"/>
      <c r="V330" s="3"/>
      <c r="W330" s="3"/>
      <c r="X330" s="3"/>
      <c r="Y330" s="3"/>
      <c r="Z330" s="3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3"/>
      <c r="V331" s="3"/>
      <c r="W331" s="3"/>
      <c r="X331" s="3"/>
      <c r="Y331" s="3"/>
      <c r="Z331" s="3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3"/>
      <c r="V332" s="3"/>
      <c r="W332" s="3"/>
      <c r="X332" s="3"/>
      <c r="Y332" s="3"/>
      <c r="Z332" s="3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3"/>
      <c r="V333" s="3"/>
      <c r="W333" s="3"/>
      <c r="X333" s="3"/>
      <c r="Y333" s="3"/>
      <c r="Z333" s="3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3"/>
      <c r="V334" s="3"/>
      <c r="W334" s="3"/>
      <c r="X334" s="3"/>
      <c r="Y334" s="3"/>
      <c r="Z334" s="3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3"/>
      <c r="V335" s="3"/>
      <c r="W335" s="3"/>
      <c r="X335" s="3"/>
      <c r="Y335" s="3"/>
      <c r="Z335" s="3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3"/>
      <c r="V336" s="3"/>
      <c r="W336" s="3"/>
      <c r="X336" s="3"/>
      <c r="Y336" s="3"/>
      <c r="Z336" s="3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3"/>
      <c r="V337" s="3"/>
      <c r="W337" s="3"/>
      <c r="X337" s="3"/>
      <c r="Y337" s="3"/>
      <c r="Z337" s="3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3"/>
      <c r="V338" s="3"/>
      <c r="W338" s="3"/>
      <c r="X338" s="3"/>
      <c r="Y338" s="3"/>
      <c r="Z338" s="3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3"/>
      <c r="V339" s="3"/>
      <c r="W339" s="3"/>
      <c r="X339" s="3"/>
      <c r="Y339" s="3"/>
      <c r="Z339" s="3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3"/>
      <c r="V340" s="3"/>
      <c r="W340" s="3"/>
      <c r="X340" s="3"/>
      <c r="Y340" s="3"/>
      <c r="Z340" s="3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3"/>
      <c r="V341" s="3"/>
      <c r="W341" s="3"/>
      <c r="X341" s="3"/>
      <c r="Y341" s="3"/>
      <c r="Z341" s="3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3"/>
      <c r="V342" s="3"/>
      <c r="W342" s="3"/>
      <c r="X342" s="3"/>
      <c r="Y342" s="3"/>
      <c r="Z342" s="3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3"/>
      <c r="V343" s="3"/>
      <c r="W343" s="3"/>
      <c r="X343" s="3"/>
      <c r="Y343" s="3"/>
      <c r="Z343" s="3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3"/>
      <c r="V344" s="3"/>
      <c r="W344" s="3"/>
      <c r="X344" s="3"/>
      <c r="Y344" s="3"/>
      <c r="Z344" s="3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3"/>
      <c r="V345" s="3"/>
      <c r="W345" s="3"/>
      <c r="X345" s="3"/>
      <c r="Y345" s="3"/>
      <c r="Z345" s="3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3"/>
      <c r="V346" s="3"/>
      <c r="W346" s="3"/>
      <c r="X346" s="3"/>
      <c r="Y346" s="3"/>
      <c r="Z346" s="3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3"/>
      <c r="V347" s="3"/>
      <c r="W347" s="3"/>
      <c r="X347" s="3"/>
      <c r="Y347" s="3"/>
      <c r="Z347" s="3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3"/>
      <c r="V348" s="3"/>
      <c r="W348" s="3"/>
      <c r="X348" s="3"/>
      <c r="Y348" s="3"/>
      <c r="Z348" s="3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3"/>
      <c r="V349" s="3"/>
      <c r="W349" s="3"/>
      <c r="X349" s="3"/>
      <c r="Y349" s="3"/>
      <c r="Z349" s="3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3"/>
      <c r="V350" s="3"/>
      <c r="W350" s="3"/>
      <c r="X350" s="3"/>
      <c r="Y350" s="3"/>
      <c r="Z350" s="3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3"/>
      <c r="V351" s="3"/>
      <c r="W351" s="3"/>
      <c r="X351" s="3"/>
      <c r="Y351" s="3"/>
      <c r="Z351" s="3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3"/>
      <c r="V352" s="3"/>
      <c r="W352" s="3"/>
      <c r="X352" s="3"/>
      <c r="Y352" s="3"/>
      <c r="Z352" s="3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3"/>
      <c r="V353" s="3"/>
      <c r="W353" s="3"/>
      <c r="X353" s="3"/>
      <c r="Y353" s="3"/>
      <c r="Z353" s="3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3"/>
      <c r="V354" s="3"/>
      <c r="W354" s="3"/>
      <c r="X354" s="3"/>
      <c r="Y354" s="3"/>
      <c r="Z354" s="3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3"/>
      <c r="V355" s="3"/>
      <c r="W355" s="3"/>
      <c r="X355" s="3"/>
      <c r="Y355" s="3"/>
      <c r="Z355" s="3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3"/>
      <c r="V356" s="3"/>
      <c r="W356" s="3"/>
      <c r="X356" s="3"/>
      <c r="Y356" s="3"/>
      <c r="Z356" s="3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3"/>
      <c r="V357" s="3"/>
      <c r="W357" s="3"/>
      <c r="X357" s="3"/>
      <c r="Y357" s="3"/>
      <c r="Z357" s="3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3"/>
      <c r="V358" s="3"/>
      <c r="W358" s="3"/>
      <c r="X358" s="3"/>
      <c r="Y358" s="3"/>
      <c r="Z358" s="3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3"/>
      <c r="V359" s="3"/>
      <c r="W359" s="3"/>
      <c r="X359" s="3"/>
      <c r="Y359" s="3"/>
      <c r="Z359" s="3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3"/>
      <c r="V360" s="3"/>
      <c r="W360" s="3"/>
      <c r="X360" s="3"/>
      <c r="Y360" s="3"/>
      <c r="Z360" s="3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3"/>
      <c r="V361" s="3"/>
      <c r="W361" s="3"/>
      <c r="X361" s="3"/>
      <c r="Y361" s="3"/>
      <c r="Z361" s="3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3"/>
      <c r="V362" s="3"/>
      <c r="W362" s="3"/>
      <c r="X362" s="3"/>
      <c r="Y362" s="3"/>
      <c r="Z362" s="3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3"/>
      <c r="V363" s="3"/>
      <c r="W363" s="3"/>
      <c r="X363" s="3"/>
      <c r="Y363" s="3"/>
      <c r="Z363" s="3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3"/>
      <c r="V364" s="3"/>
      <c r="W364" s="3"/>
      <c r="X364" s="3"/>
      <c r="Y364" s="3"/>
      <c r="Z364" s="3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3"/>
      <c r="V365" s="3"/>
      <c r="W365" s="3"/>
      <c r="X365" s="3"/>
      <c r="Y365" s="3"/>
      <c r="Z365" s="3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3"/>
      <c r="V366" s="3"/>
      <c r="W366" s="3"/>
      <c r="X366" s="3"/>
      <c r="Y366" s="3"/>
      <c r="Z366" s="3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3"/>
      <c r="V367" s="3"/>
      <c r="W367" s="3"/>
      <c r="X367" s="3"/>
      <c r="Y367" s="3"/>
      <c r="Z367" s="3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3"/>
      <c r="V368" s="3"/>
      <c r="W368" s="3"/>
      <c r="X368" s="3"/>
      <c r="Y368" s="3"/>
      <c r="Z368" s="3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3"/>
      <c r="V369" s="3"/>
      <c r="W369" s="3"/>
      <c r="X369" s="3"/>
      <c r="Y369" s="3"/>
      <c r="Z369" s="3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3"/>
      <c r="V370" s="3"/>
      <c r="W370" s="3"/>
      <c r="X370" s="3"/>
      <c r="Y370" s="3"/>
      <c r="Z370" s="3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3"/>
      <c r="V371" s="3"/>
      <c r="W371" s="3"/>
      <c r="X371" s="3"/>
      <c r="Y371" s="3"/>
      <c r="Z371" s="3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3"/>
      <c r="V372" s="3"/>
      <c r="W372" s="3"/>
      <c r="X372" s="3"/>
      <c r="Y372" s="3"/>
      <c r="Z372" s="3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3"/>
      <c r="V373" s="3"/>
      <c r="W373" s="3"/>
      <c r="X373" s="3"/>
      <c r="Y373" s="3"/>
      <c r="Z373" s="3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3"/>
      <c r="V374" s="3"/>
      <c r="W374" s="3"/>
      <c r="X374" s="3"/>
      <c r="Y374" s="3"/>
      <c r="Z374" s="3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3"/>
      <c r="V375" s="3"/>
      <c r="W375" s="3"/>
      <c r="X375" s="3"/>
      <c r="Y375" s="3"/>
      <c r="Z375" s="3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3"/>
      <c r="V376" s="3"/>
      <c r="W376" s="3"/>
      <c r="X376" s="3"/>
      <c r="Y376" s="3"/>
      <c r="Z376" s="3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3"/>
      <c r="V377" s="3"/>
      <c r="W377" s="3"/>
      <c r="X377" s="3"/>
      <c r="Y377" s="3"/>
      <c r="Z377" s="3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3"/>
      <c r="V378" s="3"/>
      <c r="W378" s="3"/>
      <c r="X378" s="3"/>
      <c r="Y378" s="3"/>
      <c r="Z378" s="3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3"/>
      <c r="V379" s="3"/>
      <c r="W379" s="3"/>
      <c r="X379" s="3"/>
      <c r="Y379" s="3"/>
      <c r="Z379" s="3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3"/>
      <c r="V380" s="3"/>
      <c r="W380" s="3"/>
      <c r="X380" s="3"/>
      <c r="Y380" s="3"/>
      <c r="Z380" s="3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3"/>
      <c r="V381" s="3"/>
      <c r="W381" s="3"/>
      <c r="X381" s="3"/>
      <c r="Y381" s="3"/>
      <c r="Z381" s="3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3"/>
      <c r="V382" s="3"/>
      <c r="W382" s="3"/>
      <c r="X382" s="3"/>
      <c r="Y382" s="3"/>
      <c r="Z382" s="3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3"/>
      <c r="V383" s="3"/>
      <c r="W383" s="3"/>
      <c r="X383" s="3"/>
      <c r="Y383" s="3"/>
      <c r="Z383" s="3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3"/>
      <c r="V384" s="3"/>
      <c r="W384" s="3"/>
      <c r="X384" s="3"/>
      <c r="Y384" s="3"/>
      <c r="Z384" s="3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3"/>
      <c r="V385" s="3"/>
      <c r="W385" s="3"/>
      <c r="X385" s="3"/>
      <c r="Y385" s="3"/>
      <c r="Z385" s="3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3"/>
      <c r="V386" s="3"/>
      <c r="W386" s="3"/>
      <c r="X386" s="3"/>
      <c r="Y386" s="3"/>
      <c r="Z386" s="3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3"/>
      <c r="V387" s="3"/>
      <c r="W387" s="3"/>
      <c r="X387" s="3"/>
      <c r="Y387" s="3"/>
      <c r="Z387" s="3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3"/>
      <c r="V388" s="3"/>
      <c r="W388" s="3"/>
      <c r="X388" s="3"/>
      <c r="Y388" s="3"/>
      <c r="Z388" s="3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3"/>
      <c r="V389" s="3"/>
      <c r="W389" s="3"/>
      <c r="X389" s="3"/>
      <c r="Y389" s="3"/>
      <c r="Z389" s="3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3"/>
      <c r="V390" s="3"/>
      <c r="W390" s="3"/>
      <c r="X390" s="3"/>
      <c r="Y390" s="3"/>
      <c r="Z390" s="3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3"/>
      <c r="V391" s="3"/>
      <c r="W391" s="3"/>
      <c r="X391" s="3"/>
      <c r="Y391" s="3"/>
      <c r="Z391" s="3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3"/>
      <c r="V392" s="3"/>
      <c r="W392" s="3"/>
      <c r="X392" s="3"/>
      <c r="Y392" s="3"/>
      <c r="Z392" s="3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3"/>
      <c r="V393" s="3"/>
      <c r="W393" s="3"/>
      <c r="X393" s="3"/>
      <c r="Y393" s="3"/>
      <c r="Z393" s="3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3"/>
      <c r="V394" s="3"/>
      <c r="W394" s="3"/>
      <c r="X394" s="3"/>
      <c r="Y394" s="3"/>
      <c r="Z394" s="3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3"/>
      <c r="V395" s="3"/>
      <c r="W395" s="3"/>
      <c r="X395" s="3"/>
      <c r="Y395" s="3"/>
      <c r="Z395" s="3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3"/>
      <c r="V396" s="3"/>
      <c r="W396" s="3"/>
      <c r="X396" s="3"/>
      <c r="Y396" s="3"/>
      <c r="Z396" s="3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3"/>
      <c r="V397" s="3"/>
      <c r="W397" s="3"/>
      <c r="X397" s="3"/>
      <c r="Y397" s="3"/>
      <c r="Z397" s="3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3"/>
      <c r="V398" s="3"/>
      <c r="W398" s="3"/>
      <c r="X398" s="3"/>
      <c r="Y398" s="3"/>
      <c r="Z398" s="3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3"/>
      <c r="V399" s="3"/>
      <c r="W399" s="3"/>
      <c r="X399" s="3"/>
      <c r="Y399" s="3"/>
      <c r="Z399" s="3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3"/>
      <c r="V400" s="3"/>
      <c r="W400" s="3"/>
      <c r="X400" s="3"/>
      <c r="Y400" s="3"/>
      <c r="Z400" s="3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3"/>
      <c r="V401" s="3"/>
      <c r="W401" s="3"/>
      <c r="X401" s="3"/>
      <c r="Y401" s="3"/>
      <c r="Z401" s="3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3"/>
      <c r="V402" s="3"/>
      <c r="W402" s="3"/>
      <c r="X402" s="3"/>
      <c r="Y402" s="3"/>
      <c r="Z402" s="3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3"/>
      <c r="V403" s="3"/>
      <c r="W403" s="3"/>
      <c r="X403" s="3"/>
      <c r="Y403" s="3"/>
      <c r="Z403" s="3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3"/>
      <c r="V404" s="3"/>
      <c r="W404" s="3"/>
      <c r="X404" s="3"/>
      <c r="Y404" s="3"/>
      <c r="Z404" s="3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3"/>
      <c r="V405" s="3"/>
      <c r="W405" s="3"/>
      <c r="X405" s="3"/>
      <c r="Y405" s="3"/>
      <c r="Z405" s="3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3"/>
      <c r="V406" s="3"/>
      <c r="W406" s="3"/>
      <c r="X406" s="3"/>
      <c r="Y406" s="3"/>
      <c r="Z406" s="3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3"/>
      <c r="V407" s="3"/>
      <c r="W407" s="3"/>
      <c r="X407" s="3"/>
      <c r="Y407" s="3"/>
      <c r="Z407" s="3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3"/>
      <c r="V408" s="3"/>
      <c r="W408" s="3"/>
      <c r="X408" s="3"/>
      <c r="Y408" s="3"/>
      <c r="Z408" s="3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3"/>
      <c r="V409" s="3"/>
      <c r="W409" s="3"/>
      <c r="X409" s="3"/>
      <c r="Y409" s="3"/>
      <c r="Z409" s="3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3"/>
      <c r="V410" s="3"/>
      <c r="W410" s="3"/>
      <c r="X410" s="3"/>
      <c r="Y410" s="3"/>
      <c r="Z410" s="3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3"/>
      <c r="V411" s="3"/>
      <c r="W411" s="3"/>
      <c r="X411" s="3"/>
      <c r="Y411" s="3"/>
      <c r="Z411" s="3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3"/>
      <c r="V412" s="3"/>
      <c r="W412" s="3"/>
      <c r="X412" s="3"/>
      <c r="Y412" s="3"/>
      <c r="Z412" s="3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3"/>
      <c r="V413" s="3"/>
      <c r="W413" s="3"/>
      <c r="X413" s="3"/>
      <c r="Y413" s="3"/>
      <c r="Z413" s="3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3"/>
      <c r="V414" s="3"/>
      <c r="W414" s="3"/>
      <c r="X414" s="3"/>
      <c r="Y414" s="3"/>
      <c r="Z414" s="3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3"/>
      <c r="V415" s="3"/>
      <c r="W415" s="3"/>
      <c r="X415" s="3"/>
      <c r="Y415" s="3"/>
      <c r="Z415" s="3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3"/>
      <c r="V416" s="3"/>
      <c r="W416" s="3"/>
      <c r="X416" s="3"/>
      <c r="Y416" s="3"/>
      <c r="Z416" s="3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3"/>
      <c r="V417" s="3"/>
      <c r="W417" s="3"/>
      <c r="X417" s="3"/>
      <c r="Y417" s="3"/>
      <c r="Z417" s="3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3"/>
      <c r="V418" s="3"/>
      <c r="W418" s="3"/>
      <c r="X418" s="3"/>
      <c r="Y418" s="3"/>
      <c r="Z418" s="3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3"/>
      <c r="V419" s="3"/>
      <c r="W419" s="3"/>
      <c r="X419" s="3"/>
      <c r="Y419" s="3"/>
      <c r="Z419" s="3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3"/>
      <c r="V420" s="3"/>
      <c r="W420" s="3"/>
      <c r="X420" s="3"/>
      <c r="Y420" s="3"/>
      <c r="Z420" s="3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3"/>
      <c r="V421" s="3"/>
      <c r="W421" s="3"/>
      <c r="X421" s="3"/>
      <c r="Y421" s="3"/>
      <c r="Z421" s="3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3"/>
      <c r="V422" s="3"/>
      <c r="W422" s="3"/>
      <c r="X422" s="3"/>
      <c r="Y422" s="3"/>
      <c r="Z422" s="3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3"/>
      <c r="V423" s="3"/>
      <c r="W423" s="3"/>
      <c r="X423" s="3"/>
      <c r="Y423" s="3"/>
      <c r="Z423" s="3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3"/>
      <c r="V424" s="3"/>
      <c r="W424" s="3"/>
      <c r="X424" s="3"/>
      <c r="Y424" s="3"/>
      <c r="Z424" s="3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3"/>
      <c r="V425" s="3"/>
      <c r="W425" s="3"/>
      <c r="X425" s="3"/>
      <c r="Y425" s="3"/>
      <c r="Z425" s="3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3"/>
      <c r="V426" s="3"/>
      <c r="W426" s="3"/>
      <c r="X426" s="3"/>
      <c r="Y426" s="3"/>
      <c r="Z426" s="3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3"/>
      <c r="V427" s="3"/>
      <c r="W427" s="3"/>
      <c r="X427" s="3"/>
      <c r="Y427" s="3"/>
      <c r="Z427" s="3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3"/>
      <c r="V428" s="3"/>
      <c r="W428" s="3"/>
      <c r="X428" s="3"/>
      <c r="Y428" s="3"/>
      <c r="Z428" s="3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3"/>
      <c r="V429" s="3"/>
      <c r="W429" s="3"/>
      <c r="X429" s="3"/>
      <c r="Y429" s="3"/>
      <c r="Z429" s="3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3"/>
      <c r="V430" s="3"/>
      <c r="W430" s="3"/>
      <c r="X430" s="3"/>
      <c r="Y430" s="3"/>
      <c r="Z430" s="3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3"/>
      <c r="V431" s="3"/>
      <c r="W431" s="3"/>
      <c r="X431" s="3"/>
      <c r="Y431" s="3"/>
      <c r="Z431" s="3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3"/>
      <c r="V432" s="3"/>
      <c r="W432" s="3"/>
      <c r="X432" s="3"/>
      <c r="Y432" s="3"/>
      <c r="Z432" s="3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3"/>
      <c r="V433" s="3"/>
      <c r="W433" s="3"/>
      <c r="X433" s="3"/>
      <c r="Y433" s="3"/>
      <c r="Z433" s="3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3"/>
      <c r="V434" s="3"/>
      <c r="W434" s="3"/>
      <c r="X434" s="3"/>
      <c r="Y434" s="3"/>
      <c r="Z434" s="3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3"/>
      <c r="V435" s="3"/>
      <c r="W435" s="3"/>
      <c r="X435" s="3"/>
      <c r="Y435" s="3"/>
      <c r="Z435" s="3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3"/>
      <c r="V436" s="3"/>
      <c r="W436" s="3"/>
      <c r="X436" s="3"/>
      <c r="Y436" s="3"/>
      <c r="Z436" s="3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3"/>
      <c r="V437" s="3"/>
      <c r="W437" s="3"/>
      <c r="X437" s="3"/>
      <c r="Y437" s="3"/>
      <c r="Z437" s="3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3"/>
      <c r="V438" s="3"/>
      <c r="W438" s="3"/>
      <c r="X438" s="3"/>
      <c r="Y438" s="3"/>
      <c r="Z438" s="3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3"/>
      <c r="V439" s="3"/>
      <c r="W439" s="3"/>
      <c r="X439" s="3"/>
      <c r="Y439" s="3"/>
      <c r="Z439" s="3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3"/>
      <c r="V440" s="3"/>
      <c r="W440" s="3"/>
      <c r="X440" s="3"/>
      <c r="Y440" s="3"/>
      <c r="Z440" s="3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3"/>
      <c r="V441" s="3"/>
      <c r="W441" s="3"/>
      <c r="X441" s="3"/>
      <c r="Y441" s="3"/>
      <c r="Z441" s="3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3"/>
      <c r="V442" s="3"/>
      <c r="W442" s="3"/>
      <c r="X442" s="3"/>
      <c r="Y442" s="3"/>
      <c r="Z442" s="3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3"/>
      <c r="V443" s="3"/>
      <c r="W443" s="3"/>
      <c r="X443" s="3"/>
      <c r="Y443" s="3"/>
      <c r="Z443" s="3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3"/>
      <c r="V444" s="3"/>
      <c r="W444" s="3"/>
      <c r="X444" s="3"/>
      <c r="Y444" s="3"/>
      <c r="Z444" s="3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3"/>
      <c r="V445" s="3"/>
      <c r="W445" s="3"/>
      <c r="X445" s="3"/>
      <c r="Y445" s="3"/>
      <c r="Z445" s="3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3"/>
      <c r="V446" s="3"/>
      <c r="W446" s="3"/>
      <c r="X446" s="3"/>
      <c r="Y446" s="3"/>
      <c r="Z446" s="3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3"/>
      <c r="V447" s="3"/>
      <c r="W447" s="3"/>
      <c r="X447" s="3"/>
      <c r="Y447" s="3"/>
      <c r="Z447" s="3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3"/>
      <c r="V448" s="3"/>
      <c r="W448" s="3"/>
      <c r="X448" s="3"/>
      <c r="Y448" s="3"/>
      <c r="Z448" s="3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3"/>
      <c r="V449" s="3"/>
      <c r="W449" s="3"/>
      <c r="X449" s="3"/>
      <c r="Y449" s="3"/>
      <c r="Z449" s="3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3"/>
      <c r="V450" s="3"/>
      <c r="W450" s="3"/>
      <c r="X450" s="3"/>
      <c r="Y450" s="3"/>
      <c r="Z450" s="3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3"/>
      <c r="V451" s="3"/>
      <c r="W451" s="3"/>
      <c r="X451" s="3"/>
      <c r="Y451" s="3"/>
      <c r="Z451" s="3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3"/>
      <c r="V452" s="3"/>
      <c r="W452" s="3"/>
      <c r="X452" s="3"/>
      <c r="Y452" s="3"/>
      <c r="Z452" s="3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3"/>
      <c r="V453" s="3"/>
      <c r="W453" s="3"/>
      <c r="X453" s="3"/>
      <c r="Y453" s="3"/>
      <c r="Z453" s="3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3"/>
      <c r="V454" s="3"/>
      <c r="W454" s="3"/>
      <c r="X454" s="3"/>
      <c r="Y454" s="3"/>
      <c r="Z454" s="3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3"/>
      <c r="V455" s="3"/>
      <c r="W455" s="3"/>
      <c r="X455" s="3"/>
      <c r="Y455" s="3"/>
      <c r="Z455" s="3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3"/>
      <c r="V456" s="3"/>
      <c r="W456" s="3"/>
      <c r="X456" s="3"/>
      <c r="Y456" s="3"/>
      <c r="Z456" s="3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3"/>
      <c r="V457" s="3"/>
      <c r="W457" s="3"/>
      <c r="X457" s="3"/>
      <c r="Y457" s="3"/>
      <c r="Z457" s="3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3"/>
      <c r="V458" s="3"/>
      <c r="W458" s="3"/>
      <c r="X458" s="3"/>
      <c r="Y458" s="3"/>
      <c r="Z458" s="3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3"/>
      <c r="V459" s="3"/>
      <c r="W459" s="3"/>
      <c r="X459" s="3"/>
      <c r="Y459" s="3"/>
      <c r="Z459" s="3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3"/>
      <c r="V460" s="3"/>
      <c r="W460" s="3"/>
      <c r="X460" s="3"/>
      <c r="Y460" s="3"/>
      <c r="Z460" s="3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3"/>
      <c r="V461" s="3"/>
      <c r="W461" s="3"/>
      <c r="X461" s="3"/>
      <c r="Y461" s="3"/>
      <c r="Z461" s="3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3"/>
      <c r="V462" s="3"/>
      <c r="W462" s="3"/>
      <c r="X462" s="3"/>
      <c r="Y462" s="3"/>
      <c r="Z462" s="3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3"/>
      <c r="V463" s="3"/>
      <c r="W463" s="3"/>
      <c r="X463" s="3"/>
      <c r="Y463" s="3"/>
      <c r="Z463" s="3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3"/>
      <c r="V464" s="3"/>
      <c r="W464" s="3"/>
      <c r="X464" s="3"/>
      <c r="Y464" s="3"/>
      <c r="Z464" s="3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3"/>
      <c r="V465" s="3"/>
      <c r="W465" s="3"/>
      <c r="X465" s="3"/>
      <c r="Y465" s="3"/>
      <c r="Z465" s="3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3"/>
      <c r="V466" s="3"/>
      <c r="W466" s="3"/>
      <c r="X466" s="3"/>
      <c r="Y466" s="3"/>
      <c r="Z466" s="3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3"/>
      <c r="V467" s="3"/>
      <c r="W467" s="3"/>
      <c r="X467" s="3"/>
      <c r="Y467" s="3"/>
      <c r="Z467" s="3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3"/>
      <c r="V468" s="3"/>
      <c r="W468" s="3"/>
      <c r="X468" s="3"/>
      <c r="Y468" s="3"/>
      <c r="Z468" s="3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3"/>
      <c r="V469" s="3"/>
      <c r="W469" s="3"/>
      <c r="X469" s="3"/>
      <c r="Y469" s="3"/>
      <c r="Z469" s="3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3"/>
      <c r="V470" s="3"/>
      <c r="W470" s="3"/>
      <c r="X470" s="3"/>
      <c r="Y470" s="3"/>
      <c r="Z470" s="3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3"/>
      <c r="V471" s="3"/>
      <c r="W471" s="3"/>
      <c r="X471" s="3"/>
      <c r="Y471" s="3"/>
      <c r="Z471" s="3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3"/>
      <c r="V472" s="3"/>
      <c r="W472" s="3"/>
      <c r="X472" s="3"/>
      <c r="Y472" s="3"/>
      <c r="Z472" s="3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3"/>
      <c r="V473" s="3"/>
      <c r="W473" s="3"/>
      <c r="X473" s="3"/>
      <c r="Y473" s="3"/>
      <c r="Z473" s="3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3"/>
      <c r="V474" s="3"/>
      <c r="W474" s="3"/>
      <c r="X474" s="3"/>
      <c r="Y474" s="3"/>
      <c r="Z474" s="3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3"/>
      <c r="V475" s="3"/>
      <c r="W475" s="3"/>
      <c r="X475" s="3"/>
      <c r="Y475" s="3"/>
      <c r="Z475" s="3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3"/>
      <c r="V476" s="3"/>
      <c r="W476" s="3"/>
      <c r="X476" s="3"/>
      <c r="Y476" s="3"/>
      <c r="Z476" s="3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3"/>
      <c r="V477" s="3"/>
      <c r="W477" s="3"/>
      <c r="X477" s="3"/>
      <c r="Y477" s="3"/>
      <c r="Z477" s="3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3"/>
      <c r="V478" s="3"/>
      <c r="W478" s="3"/>
      <c r="X478" s="3"/>
      <c r="Y478" s="3"/>
      <c r="Z478" s="3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3"/>
      <c r="V479" s="3"/>
      <c r="W479" s="3"/>
      <c r="X479" s="3"/>
      <c r="Y479" s="3"/>
      <c r="Z479" s="3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3"/>
      <c r="V480" s="3"/>
      <c r="W480" s="3"/>
      <c r="X480" s="3"/>
      <c r="Y480" s="3"/>
      <c r="Z480" s="3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3"/>
      <c r="V481" s="3"/>
      <c r="W481" s="3"/>
      <c r="X481" s="3"/>
      <c r="Y481" s="3"/>
      <c r="Z481" s="3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3"/>
      <c r="V482" s="3"/>
      <c r="W482" s="3"/>
      <c r="X482" s="3"/>
      <c r="Y482" s="3"/>
      <c r="Z482" s="3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3"/>
      <c r="V483" s="3"/>
      <c r="W483" s="3"/>
      <c r="X483" s="3"/>
      <c r="Y483" s="3"/>
      <c r="Z483" s="3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3"/>
      <c r="V484" s="3"/>
      <c r="W484" s="3"/>
      <c r="X484" s="3"/>
      <c r="Y484" s="3"/>
      <c r="Z484" s="3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3"/>
      <c r="V485" s="3"/>
      <c r="W485" s="3"/>
      <c r="X485" s="3"/>
      <c r="Y485" s="3"/>
      <c r="Z485" s="3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3"/>
      <c r="V486" s="3"/>
      <c r="W486" s="3"/>
      <c r="X486" s="3"/>
      <c r="Y486" s="3"/>
      <c r="Z486" s="3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3"/>
      <c r="V487" s="3"/>
      <c r="W487" s="3"/>
      <c r="X487" s="3"/>
      <c r="Y487" s="3"/>
      <c r="Z487" s="3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3"/>
      <c r="V488" s="3"/>
      <c r="W488" s="3"/>
      <c r="X488" s="3"/>
      <c r="Y488" s="3"/>
      <c r="Z488" s="3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3"/>
      <c r="V489" s="3"/>
      <c r="W489" s="3"/>
      <c r="X489" s="3"/>
      <c r="Y489" s="3"/>
      <c r="Z489" s="3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3"/>
      <c r="V490" s="3"/>
      <c r="W490" s="3"/>
      <c r="X490" s="3"/>
      <c r="Y490" s="3"/>
      <c r="Z490" s="3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3"/>
      <c r="V491" s="3"/>
      <c r="W491" s="3"/>
      <c r="X491" s="3"/>
      <c r="Y491" s="3"/>
      <c r="Z491" s="3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3"/>
      <c r="V492" s="3"/>
      <c r="W492" s="3"/>
      <c r="X492" s="3"/>
      <c r="Y492" s="3"/>
      <c r="Z492" s="3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3"/>
      <c r="V493" s="3"/>
      <c r="W493" s="3"/>
      <c r="X493" s="3"/>
      <c r="Y493" s="3"/>
      <c r="Z493" s="3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3"/>
      <c r="V494" s="3"/>
      <c r="W494" s="3"/>
      <c r="X494" s="3"/>
      <c r="Y494" s="3"/>
      <c r="Z494" s="3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3"/>
      <c r="V495" s="3"/>
      <c r="W495" s="3"/>
      <c r="X495" s="3"/>
      <c r="Y495" s="3"/>
      <c r="Z495" s="3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3"/>
      <c r="V496" s="3"/>
      <c r="W496" s="3"/>
      <c r="X496" s="3"/>
      <c r="Y496" s="3"/>
      <c r="Z496" s="3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3"/>
      <c r="V497" s="3"/>
      <c r="W497" s="3"/>
      <c r="X497" s="3"/>
      <c r="Y497" s="3"/>
      <c r="Z497" s="3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3"/>
      <c r="V498" s="3"/>
      <c r="W498" s="3"/>
      <c r="X498" s="3"/>
      <c r="Y498" s="3"/>
      <c r="Z498" s="3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3"/>
      <c r="V499" s="3"/>
      <c r="W499" s="3"/>
      <c r="X499" s="3"/>
      <c r="Y499" s="3"/>
      <c r="Z499" s="3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3"/>
      <c r="V500" s="3"/>
      <c r="W500" s="3"/>
      <c r="X500" s="3"/>
      <c r="Y500" s="3"/>
      <c r="Z500" s="3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3"/>
      <c r="V501" s="3"/>
      <c r="W501" s="3"/>
      <c r="X501" s="3"/>
      <c r="Y501" s="3"/>
      <c r="Z501" s="3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3"/>
      <c r="V502" s="3"/>
      <c r="W502" s="3"/>
      <c r="X502" s="3"/>
      <c r="Y502" s="3"/>
      <c r="Z502" s="3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3"/>
      <c r="V503" s="3"/>
      <c r="W503" s="3"/>
      <c r="X503" s="3"/>
      <c r="Y503" s="3"/>
      <c r="Z503" s="3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3"/>
      <c r="V504" s="3"/>
      <c r="W504" s="3"/>
      <c r="X504" s="3"/>
      <c r="Y504" s="3"/>
      <c r="Z504" s="3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3"/>
      <c r="V505" s="3"/>
      <c r="W505" s="3"/>
      <c r="X505" s="3"/>
      <c r="Y505" s="3"/>
      <c r="Z505" s="3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3"/>
      <c r="V506" s="3"/>
      <c r="W506" s="3"/>
      <c r="X506" s="3"/>
      <c r="Y506" s="3"/>
      <c r="Z506" s="3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3"/>
      <c r="V507" s="3"/>
      <c r="W507" s="3"/>
      <c r="X507" s="3"/>
      <c r="Y507" s="3"/>
      <c r="Z507" s="3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3"/>
      <c r="V508" s="3"/>
      <c r="W508" s="3"/>
      <c r="X508" s="3"/>
      <c r="Y508" s="3"/>
      <c r="Z508" s="3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3"/>
      <c r="V509" s="3"/>
      <c r="W509" s="3"/>
      <c r="X509" s="3"/>
      <c r="Y509" s="3"/>
      <c r="Z509" s="3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3"/>
      <c r="V510" s="3"/>
      <c r="W510" s="3"/>
      <c r="X510" s="3"/>
      <c r="Y510" s="3"/>
      <c r="Z510" s="3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3"/>
      <c r="V511" s="3"/>
      <c r="W511" s="3"/>
      <c r="X511" s="3"/>
      <c r="Y511" s="3"/>
      <c r="Z511" s="3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3"/>
      <c r="V512" s="3"/>
      <c r="W512" s="3"/>
      <c r="X512" s="3"/>
      <c r="Y512" s="3"/>
      <c r="Z512" s="3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3"/>
      <c r="V513" s="3"/>
      <c r="W513" s="3"/>
      <c r="X513" s="3"/>
      <c r="Y513" s="3"/>
      <c r="Z513" s="3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3"/>
      <c r="V514" s="3"/>
      <c r="W514" s="3"/>
      <c r="X514" s="3"/>
      <c r="Y514" s="3"/>
      <c r="Z514" s="3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3"/>
      <c r="V515" s="3"/>
      <c r="W515" s="3"/>
      <c r="X515" s="3"/>
      <c r="Y515" s="3"/>
      <c r="Z515" s="3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3"/>
      <c r="V516" s="3"/>
      <c r="W516" s="3"/>
      <c r="X516" s="3"/>
      <c r="Y516" s="3"/>
      <c r="Z516" s="3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3"/>
      <c r="V517" s="3"/>
      <c r="W517" s="3"/>
      <c r="X517" s="3"/>
      <c r="Y517" s="3"/>
      <c r="Z517" s="3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3"/>
      <c r="V518" s="3"/>
      <c r="W518" s="3"/>
      <c r="X518" s="3"/>
      <c r="Y518" s="3"/>
      <c r="Z518" s="3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3"/>
      <c r="V519" s="3"/>
      <c r="W519" s="3"/>
      <c r="X519" s="3"/>
      <c r="Y519" s="3"/>
      <c r="Z519" s="3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3"/>
      <c r="V520" s="3"/>
      <c r="W520" s="3"/>
      <c r="X520" s="3"/>
      <c r="Y520" s="3"/>
      <c r="Z520" s="3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3"/>
      <c r="V521" s="3"/>
      <c r="W521" s="3"/>
      <c r="X521" s="3"/>
      <c r="Y521" s="3"/>
      <c r="Z521" s="3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3"/>
      <c r="V522" s="3"/>
      <c r="W522" s="3"/>
      <c r="X522" s="3"/>
      <c r="Y522" s="3"/>
      <c r="Z522" s="3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3"/>
      <c r="V523" s="3"/>
      <c r="W523" s="3"/>
      <c r="X523" s="3"/>
      <c r="Y523" s="3"/>
      <c r="Z523" s="3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3"/>
      <c r="V524" s="3"/>
      <c r="W524" s="3"/>
      <c r="X524" s="3"/>
      <c r="Y524" s="3"/>
      <c r="Z524" s="3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3"/>
      <c r="V525" s="3"/>
      <c r="W525" s="3"/>
      <c r="X525" s="3"/>
      <c r="Y525" s="3"/>
      <c r="Z525" s="3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3"/>
      <c r="V526" s="3"/>
      <c r="W526" s="3"/>
      <c r="X526" s="3"/>
      <c r="Y526" s="3"/>
      <c r="Z526" s="3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3"/>
      <c r="V527" s="3"/>
      <c r="W527" s="3"/>
      <c r="X527" s="3"/>
      <c r="Y527" s="3"/>
      <c r="Z527" s="3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3"/>
      <c r="V528" s="3"/>
      <c r="W528" s="3"/>
      <c r="X528" s="3"/>
      <c r="Y528" s="3"/>
      <c r="Z528" s="3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3"/>
      <c r="V529" s="3"/>
      <c r="W529" s="3"/>
      <c r="X529" s="3"/>
      <c r="Y529" s="3"/>
      <c r="Z529" s="3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3"/>
      <c r="V530" s="3"/>
      <c r="W530" s="3"/>
      <c r="X530" s="3"/>
      <c r="Y530" s="3"/>
      <c r="Z530" s="3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3"/>
      <c r="V531" s="3"/>
      <c r="W531" s="3"/>
      <c r="X531" s="3"/>
      <c r="Y531" s="3"/>
      <c r="Z531" s="3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3"/>
      <c r="V532" s="3"/>
      <c r="W532" s="3"/>
      <c r="X532" s="3"/>
      <c r="Y532" s="3"/>
      <c r="Z532" s="3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3"/>
      <c r="V533" s="3"/>
      <c r="W533" s="3"/>
      <c r="X533" s="3"/>
      <c r="Y533" s="3"/>
      <c r="Z533" s="3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3"/>
      <c r="V534" s="3"/>
      <c r="W534" s="3"/>
      <c r="X534" s="3"/>
      <c r="Y534" s="3"/>
      <c r="Z534" s="3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3"/>
      <c r="V535" s="3"/>
      <c r="W535" s="3"/>
      <c r="X535" s="3"/>
      <c r="Y535" s="3"/>
      <c r="Z535" s="3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3"/>
      <c r="V536" s="3"/>
      <c r="W536" s="3"/>
      <c r="X536" s="3"/>
      <c r="Y536" s="3"/>
      <c r="Z536" s="3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3"/>
      <c r="V537" s="3"/>
      <c r="W537" s="3"/>
      <c r="X537" s="3"/>
      <c r="Y537" s="3"/>
      <c r="Z537" s="3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3"/>
      <c r="V538" s="3"/>
      <c r="W538" s="3"/>
      <c r="X538" s="3"/>
      <c r="Y538" s="3"/>
      <c r="Z538" s="3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3"/>
      <c r="V539" s="3"/>
      <c r="W539" s="3"/>
      <c r="X539" s="3"/>
      <c r="Y539" s="3"/>
      <c r="Z539" s="3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3"/>
      <c r="V540" s="3"/>
      <c r="W540" s="3"/>
      <c r="X540" s="3"/>
      <c r="Y540" s="3"/>
      <c r="Z540" s="3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3"/>
      <c r="V541" s="3"/>
      <c r="W541" s="3"/>
      <c r="X541" s="3"/>
      <c r="Y541" s="3"/>
      <c r="Z541" s="3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3"/>
      <c r="V542" s="3"/>
      <c r="W542" s="3"/>
      <c r="X542" s="3"/>
      <c r="Y542" s="3"/>
      <c r="Z542" s="3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3"/>
      <c r="V543" s="3"/>
      <c r="W543" s="3"/>
      <c r="X543" s="3"/>
      <c r="Y543" s="3"/>
      <c r="Z543" s="3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3"/>
      <c r="V544" s="3"/>
      <c r="W544" s="3"/>
      <c r="X544" s="3"/>
      <c r="Y544" s="3"/>
      <c r="Z544" s="3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3"/>
      <c r="V545" s="3"/>
      <c r="W545" s="3"/>
      <c r="X545" s="3"/>
      <c r="Y545" s="3"/>
      <c r="Z545" s="3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3"/>
      <c r="V546" s="3"/>
      <c r="W546" s="3"/>
      <c r="X546" s="3"/>
      <c r="Y546" s="3"/>
      <c r="Z546" s="3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3"/>
      <c r="V547" s="3"/>
      <c r="W547" s="3"/>
      <c r="X547" s="3"/>
      <c r="Y547" s="3"/>
      <c r="Z547" s="3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3"/>
      <c r="V548" s="3"/>
      <c r="W548" s="3"/>
      <c r="X548" s="3"/>
      <c r="Y548" s="3"/>
      <c r="Z548" s="3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3"/>
      <c r="V549" s="3"/>
      <c r="W549" s="3"/>
      <c r="X549" s="3"/>
      <c r="Y549" s="3"/>
      <c r="Z549" s="3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3"/>
      <c r="V550" s="3"/>
      <c r="W550" s="3"/>
      <c r="X550" s="3"/>
      <c r="Y550" s="3"/>
      <c r="Z550" s="3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3"/>
      <c r="V551" s="3"/>
      <c r="W551" s="3"/>
      <c r="X551" s="3"/>
      <c r="Y551" s="3"/>
      <c r="Z551" s="3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3"/>
      <c r="V552" s="3"/>
      <c r="W552" s="3"/>
      <c r="X552" s="3"/>
      <c r="Y552" s="3"/>
      <c r="Z552" s="3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3"/>
      <c r="V553" s="3"/>
      <c r="W553" s="3"/>
      <c r="X553" s="3"/>
      <c r="Y553" s="3"/>
      <c r="Z553" s="3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3"/>
      <c r="V554" s="3"/>
      <c r="W554" s="3"/>
      <c r="X554" s="3"/>
      <c r="Y554" s="3"/>
      <c r="Z554" s="3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3"/>
      <c r="V555" s="3"/>
      <c r="W555" s="3"/>
      <c r="X555" s="3"/>
      <c r="Y555" s="3"/>
      <c r="Z555" s="3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3"/>
      <c r="V556" s="3"/>
      <c r="W556" s="3"/>
      <c r="X556" s="3"/>
      <c r="Y556" s="3"/>
      <c r="Z556" s="3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3"/>
      <c r="V557" s="3"/>
      <c r="W557" s="3"/>
      <c r="X557" s="3"/>
      <c r="Y557" s="3"/>
      <c r="Z557" s="3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3"/>
      <c r="V558" s="3"/>
      <c r="W558" s="3"/>
      <c r="X558" s="3"/>
      <c r="Y558" s="3"/>
      <c r="Z558" s="3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3"/>
      <c r="V559" s="3"/>
      <c r="W559" s="3"/>
      <c r="X559" s="3"/>
      <c r="Y559" s="3"/>
      <c r="Z559" s="3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3"/>
      <c r="V560" s="3"/>
      <c r="W560" s="3"/>
      <c r="X560" s="3"/>
      <c r="Y560" s="3"/>
      <c r="Z560" s="3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3"/>
      <c r="V561" s="3"/>
      <c r="W561" s="3"/>
      <c r="X561" s="3"/>
      <c r="Y561" s="3"/>
      <c r="Z561" s="3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3"/>
      <c r="V562" s="3"/>
      <c r="W562" s="3"/>
      <c r="X562" s="3"/>
      <c r="Y562" s="3"/>
      <c r="Z562" s="3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3"/>
      <c r="V563" s="3"/>
      <c r="W563" s="3"/>
      <c r="X563" s="3"/>
      <c r="Y563" s="3"/>
      <c r="Z563" s="3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3"/>
      <c r="V564" s="3"/>
      <c r="W564" s="3"/>
      <c r="X564" s="3"/>
      <c r="Y564" s="3"/>
      <c r="Z564" s="3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3"/>
      <c r="V565" s="3"/>
      <c r="W565" s="3"/>
      <c r="X565" s="3"/>
      <c r="Y565" s="3"/>
      <c r="Z565" s="3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3"/>
      <c r="V566" s="3"/>
      <c r="W566" s="3"/>
      <c r="X566" s="3"/>
      <c r="Y566" s="3"/>
      <c r="Z566" s="3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3"/>
      <c r="V567" s="3"/>
      <c r="W567" s="3"/>
      <c r="X567" s="3"/>
      <c r="Y567" s="3"/>
      <c r="Z567" s="3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3"/>
      <c r="V568" s="3"/>
      <c r="W568" s="3"/>
      <c r="X568" s="3"/>
      <c r="Y568" s="3"/>
      <c r="Z568" s="3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3"/>
      <c r="V569" s="3"/>
      <c r="W569" s="3"/>
      <c r="X569" s="3"/>
      <c r="Y569" s="3"/>
      <c r="Z569" s="3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3"/>
      <c r="V570" s="3"/>
      <c r="W570" s="3"/>
      <c r="X570" s="3"/>
      <c r="Y570" s="3"/>
      <c r="Z570" s="3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3"/>
      <c r="V571" s="3"/>
      <c r="W571" s="3"/>
      <c r="X571" s="3"/>
      <c r="Y571" s="3"/>
      <c r="Z571" s="3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3"/>
      <c r="V572" s="3"/>
      <c r="W572" s="3"/>
      <c r="X572" s="3"/>
      <c r="Y572" s="3"/>
      <c r="Z572" s="3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3"/>
      <c r="V573" s="3"/>
      <c r="W573" s="3"/>
      <c r="X573" s="3"/>
      <c r="Y573" s="3"/>
      <c r="Z573" s="3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3"/>
      <c r="V574" s="3"/>
      <c r="W574" s="3"/>
      <c r="X574" s="3"/>
      <c r="Y574" s="3"/>
      <c r="Z574" s="3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3"/>
      <c r="V575" s="3"/>
      <c r="W575" s="3"/>
      <c r="X575" s="3"/>
      <c r="Y575" s="3"/>
      <c r="Z575" s="3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3"/>
      <c r="V576" s="3"/>
      <c r="W576" s="3"/>
      <c r="X576" s="3"/>
      <c r="Y576" s="3"/>
      <c r="Z576" s="3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3"/>
      <c r="V577" s="3"/>
      <c r="W577" s="3"/>
      <c r="X577" s="3"/>
      <c r="Y577" s="3"/>
      <c r="Z577" s="3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3"/>
      <c r="V578" s="3"/>
      <c r="W578" s="3"/>
      <c r="X578" s="3"/>
      <c r="Y578" s="3"/>
      <c r="Z578" s="3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3"/>
      <c r="V579" s="3"/>
      <c r="W579" s="3"/>
      <c r="X579" s="3"/>
      <c r="Y579" s="3"/>
      <c r="Z579" s="3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3"/>
      <c r="V580" s="3"/>
      <c r="W580" s="3"/>
      <c r="X580" s="3"/>
      <c r="Y580" s="3"/>
      <c r="Z580" s="3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3"/>
      <c r="V581" s="3"/>
      <c r="W581" s="3"/>
      <c r="X581" s="3"/>
      <c r="Y581" s="3"/>
      <c r="Z581" s="3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3"/>
      <c r="V582" s="3"/>
      <c r="W582" s="3"/>
      <c r="X582" s="3"/>
      <c r="Y582" s="3"/>
      <c r="Z582" s="3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3"/>
      <c r="V583" s="3"/>
      <c r="W583" s="3"/>
      <c r="X583" s="3"/>
      <c r="Y583" s="3"/>
      <c r="Z583" s="3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3"/>
      <c r="V584" s="3"/>
      <c r="W584" s="3"/>
      <c r="X584" s="3"/>
      <c r="Y584" s="3"/>
      <c r="Z584" s="3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3"/>
      <c r="V585" s="3"/>
      <c r="W585" s="3"/>
      <c r="X585" s="3"/>
      <c r="Y585" s="3"/>
      <c r="Z585" s="3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3"/>
      <c r="V586" s="3"/>
      <c r="W586" s="3"/>
      <c r="X586" s="3"/>
      <c r="Y586" s="3"/>
      <c r="Z586" s="3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3"/>
      <c r="V587" s="3"/>
      <c r="W587" s="3"/>
      <c r="X587" s="3"/>
      <c r="Y587" s="3"/>
      <c r="Z587" s="3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3"/>
      <c r="V588" s="3"/>
      <c r="W588" s="3"/>
      <c r="X588" s="3"/>
      <c r="Y588" s="3"/>
      <c r="Z588" s="3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3"/>
      <c r="V589" s="3"/>
      <c r="W589" s="3"/>
      <c r="X589" s="3"/>
      <c r="Y589" s="3"/>
      <c r="Z589" s="3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3"/>
      <c r="V590" s="3"/>
      <c r="W590" s="3"/>
      <c r="X590" s="3"/>
      <c r="Y590" s="3"/>
      <c r="Z590" s="3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3"/>
      <c r="V591" s="3"/>
      <c r="W591" s="3"/>
      <c r="X591" s="3"/>
      <c r="Y591" s="3"/>
      <c r="Z591" s="3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3"/>
      <c r="V592" s="3"/>
      <c r="W592" s="3"/>
      <c r="X592" s="3"/>
      <c r="Y592" s="3"/>
      <c r="Z592" s="3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3"/>
      <c r="V593" s="3"/>
      <c r="W593" s="3"/>
      <c r="X593" s="3"/>
      <c r="Y593" s="3"/>
      <c r="Z593" s="3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3"/>
      <c r="V594" s="3"/>
      <c r="W594" s="3"/>
      <c r="X594" s="3"/>
      <c r="Y594" s="3"/>
      <c r="Z594" s="3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3"/>
      <c r="V595" s="3"/>
      <c r="W595" s="3"/>
      <c r="X595" s="3"/>
      <c r="Y595" s="3"/>
      <c r="Z595" s="3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3"/>
      <c r="V596" s="3"/>
      <c r="W596" s="3"/>
      <c r="X596" s="3"/>
      <c r="Y596" s="3"/>
      <c r="Z596" s="3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3"/>
      <c r="V597" s="3"/>
      <c r="W597" s="3"/>
      <c r="X597" s="3"/>
      <c r="Y597" s="3"/>
      <c r="Z597" s="3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3"/>
      <c r="V598" s="3"/>
      <c r="W598" s="3"/>
      <c r="X598" s="3"/>
      <c r="Y598" s="3"/>
      <c r="Z598" s="3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3"/>
      <c r="V599" s="3"/>
      <c r="W599" s="3"/>
      <c r="X599" s="3"/>
      <c r="Y599" s="3"/>
      <c r="Z599" s="3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3"/>
      <c r="V600" s="3"/>
      <c r="W600" s="3"/>
      <c r="X600" s="3"/>
      <c r="Y600" s="3"/>
      <c r="Z600" s="3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3"/>
      <c r="V601" s="3"/>
      <c r="W601" s="3"/>
      <c r="X601" s="3"/>
      <c r="Y601" s="3"/>
      <c r="Z601" s="3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3"/>
      <c r="V602" s="3"/>
      <c r="W602" s="3"/>
      <c r="X602" s="3"/>
      <c r="Y602" s="3"/>
      <c r="Z602" s="3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3"/>
      <c r="V603" s="3"/>
      <c r="W603" s="3"/>
      <c r="X603" s="3"/>
      <c r="Y603" s="3"/>
      <c r="Z603" s="3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3"/>
      <c r="V604" s="3"/>
      <c r="W604" s="3"/>
      <c r="X604" s="3"/>
      <c r="Y604" s="3"/>
      <c r="Z604" s="3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3"/>
      <c r="V605" s="3"/>
      <c r="W605" s="3"/>
      <c r="X605" s="3"/>
      <c r="Y605" s="3"/>
      <c r="Z605" s="3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3"/>
      <c r="V606" s="3"/>
      <c r="W606" s="3"/>
      <c r="X606" s="3"/>
      <c r="Y606" s="3"/>
      <c r="Z606" s="3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3"/>
      <c r="V607" s="3"/>
      <c r="W607" s="3"/>
      <c r="X607" s="3"/>
      <c r="Y607" s="3"/>
      <c r="Z607" s="3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3"/>
      <c r="V608" s="3"/>
      <c r="W608" s="3"/>
      <c r="X608" s="3"/>
      <c r="Y608" s="3"/>
      <c r="Z608" s="3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3"/>
      <c r="V609" s="3"/>
      <c r="W609" s="3"/>
      <c r="X609" s="3"/>
      <c r="Y609" s="3"/>
      <c r="Z609" s="3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3"/>
      <c r="V610" s="3"/>
      <c r="W610" s="3"/>
      <c r="X610" s="3"/>
      <c r="Y610" s="3"/>
      <c r="Z610" s="3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3"/>
      <c r="V611" s="3"/>
      <c r="W611" s="3"/>
      <c r="X611" s="3"/>
      <c r="Y611" s="3"/>
      <c r="Z611" s="3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3"/>
      <c r="V612" s="3"/>
      <c r="W612" s="3"/>
      <c r="X612" s="3"/>
      <c r="Y612" s="3"/>
      <c r="Z612" s="3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3"/>
      <c r="V613" s="3"/>
      <c r="W613" s="3"/>
      <c r="X613" s="3"/>
      <c r="Y613" s="3"/>
      <c r="Z613" s="3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3"/>
      <c r="V614" s="3"/>
      <c r="W614" s="3"/>
      <c r="X614" s="3"/>
      <c r="Y614" s="3"/>
      <c r="Z614" s="3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3"/>
      <c r="V615" s="3"/>
      <c r="W615" s="3"/>
      <c r="X615" s="3"/>
      <c r="Y615" s="3"/>
      <c r="Z615" s="3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3"/>
      <c r="V616" s="3"/>
      <c r="W616" s="3"/>
      <c r="X616" s="3"/>
      <c r="Y616" s="3"/>
      <c r="Z616" s="3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3"/>
      <c r="V617" s="3"/>
      <c r="W617" s="3"/>
      <c r="X617" s="3"/>
      <c r="Y617" s="3"/>
      <c r="Z617" s="3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3"/>
      <c r="V618" s="3"/>
      <c r="W618" s="3"/>
      <c r="X618" s="3"/>
      <c r="Y618" s="3"/>
      <c r="Z618" s="3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3"/>
      <c r="V619" s="3"/>
      <c r="W619" s="3"/>
      <c r="X619" s="3"/>
      <c r="Y619" s="3"/>
      <c r="Z619" s="3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3"/>
      <c r="V620" s="3"/>
      <c r="W620" s="3"/>
      <c r="X620" s="3"/>
      <c r="Y620" s="3"/>
      <c r="Z620" s="3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3"/>
      <c r="V621" s="3"/>
      <c r="W621" s="3"/>
      <c r="X621" s="3"/>
      <c r="Y621" s="3"/>
      <c r="Z621" s="3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3"/>
      <c r="V622" s="3"/>
      <c r="W622" s="3"/>
      <c r="X622" s="3"/>
      <c r="Y622" s="3"/>
      <c r="Z622" s="3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3"/>
      <c r="V623" s="3"/>
      <c r="W623" s="3"/>
      <c r="X623" s="3"/>
      <c r="Y623" s="3"/>
      <c r="Z623" s="3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3"/>
      <c r="V624" s="3"/>
      <c r="W624" s="3"/>
      <c r="X624" s="3"/>
      <c r="Y624" s="3"/>
      <c r="Z624" s="3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3"/>
      <c r="V625" s="3"/>
      <c r="W625" s="3"/>
      <c r="X625" s="3"/>
      <c r="Y625" s="3"/>
      <c r="Z625" s="3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3"/>
      <c r="V626" s="3"/>
      <c r="W626" s="3"/>
      <c r="X626" s="3"/>
      <c r="Y626" s="3"/>
      <c r="Z626" s="3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3"/>
      <c r="V627" s="3"/>
      <c r="W627" s="3"/>
      <c r="X627" s="3"/>
      <c r="Y627" s="3"/>
      <c r="Z627" s="3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3"/>
      <c r="V628" s="3"/>
      <c r="W628" s="3"/>
      <c r="X628" s="3"/>
      <c r="Y628" s="3"/>
      <c r="Z628" s="3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3"/>
      <c r="V629" s="3"/>
      <c r="W629" s="3"/>
      <c r="X629" s="3"/>
      <c r="Y629" s="3"/>
      <c r="Z629" s="3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3"/>
      <c r="V630" s="3"/>
      <c r="W630" s="3"/>
      <c r="X630" s="3"/>
      <c r="Y630" s="3"/>
      <c r="Z630" s="3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3"/>
      <c r="V631" s="3"/>
      <c r="W631" s="3"/>
      <c r="X631" s="3"/>
      <c r="Y631" s="3"/>
      <c r="Z631" s="3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3"/>
      <c r="V632" s="3"/>
      <c r="W632" s="3"/>
      <c r="X632" s="3"/>
      <c r="Y632" s="3"/>
      <c r="Z632" s="3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3"/>
      <c r="V633" s="3"/>
      <c r="W633" s="3"/>
      <c r="X633" s="3"/>
      <c r="Y633" s="3"/>
      <c r="Z633" s="3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3"/>
      <c r="V634" s="3"/>
      <c r="W634" s="3"/>
      <c r="X634" s="3"/>
      <c r="Y634" s="3"/>
      <c r="Z634" s="3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3"/>
      <c r="V635" s="3"/>
      <c r="W635" s="3"/>
      <c r="X635" s="3"/>
      <c r="Y635" s="3"/>
      <c r="Z635" s="3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3"/>
      <c r="V636" s="3"/>
      <c r="W636" s="3"/>
      <c r="X636" s="3"/>
      <c r="Y636" s="3"/>
      <c r="Z636" s="3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3"/>
      <c r="V637" s="3"/>
      <c r="W637" s="3"/>
      <c r="X637" s="3"/>
      <c r="Y637" s="3"/>
      <c r="Z637" s="3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3"/>
      <c r="V638" s="3"/>
      <c r="W638" s="3"/>
      <c r="X638" s="3"/>
      <c r="Y638" s="3"/>
      <c r="Z638" s="3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3"/>
      <c r="V639" s="3"/>
      <c r="W639" s="3"/>
      <c r="X639" s="3"/>
      <c r="Y639" s="3"/>
      <c r="Z639" s="3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3"/>
      <c r="V640" s="3"/>
      <c r="W640" s="3"/>
      <c r="X640" s="3"/>
      <c r="Y640" s="3"/>
      <c r="Z640" s="3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3"/>
      <c r="V641" s="3"/>
      <c r="W641" s="3"/>
      <c r="X641" s="3"/>
      <c r="Y641" s="3"/>
      <c r="Z641" s="3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3"/>
      <c r="V642" s="3"/>
      <c r="W642" s="3"/>
      <c r="X642" s="3"/>
      <c r="Y642" s="3"/>
      <c r="Z642" s="3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3"/>
      <c r="V643" s="3"/>
      <c r="W643" s="3"/>
      <c r="X643" s="3"/>
      <c r="Y643" s="3"/>
      <c r="Z643" s="3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3"/>
      <c r="V644" s="3"/>
      <c r="W644" s="3"/>
      <c r="X644" s="3"/>
      <c r="Y644" s="3"/>
      <c r="Z644" s="3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3"/>
      <c r="V645" s="3"/>
      <c r="W645" s="3"/>
      <c r="X645" s="3"/>
      <c r="Y645" s="3"/>
      <c r="Z645" s="3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3"/>
      <c r="V646" s="3"/>
      <c r="W646" s="3"/>
      <c r="X646" s="3"/>
      <c r="Y646" s="3"/>
      <c r="Z646" s="3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3"/>
      <c r="V647" s="3"/>
      <c r="W647" s="3"/>
      <c r="X647" s="3"/>
      <c r="Y647" s="3"/>
      <c r="Z647" s="3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3"/>
      <c r="V648" s="3"/>
      <c r="W648" s="3"/>
      <c r="X648" s="3"/>
      <c r="Y648" s="3"/>
      <c r="Z648" s="3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3"/>
      <c r="V649" s="3"/>
      <c r="W649" s="3"/>
      <c r="X649" s="3"/>
      <c r="Y649" s="3"/>
      <c r="Z649" s="3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3"/>
      <c r="V650" s="3"/>
      <c r="W650" s="3"/>
      <c r="X650" s="3"/>
      <c r="Y650" s="3"/>
      <c r="Z650" s="3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3"/>
      <c r="V651" s="3"/>
      <c r="W651" s="3"/>
      <c r="X651" s="3"/>
      <c r="Y651" s="3"/>
      <c r="Z651" s="3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3"/>
      <c r="V652" s="3"/>
      <c r="W652" s="3"/>
      <c r="X652" s="3"/>
      <c r="Y652" s="3"/>
      <c r="Z652" s="3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3"/>
      <c r="V653" s="3"/>
      <c r="W653" s="3"/>
      <c r="X653" s="3"/>
      <c r="Y653" s="3"/>
      <c r="Z653" s="3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3"/>
      <c r="V654" s="3"/>
      <c r="W654" s="3"/>
      <c r="X654" s="3"/>
      <c r="Y654" s="3"/>
      <c r="Z654" s="3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3"/>
      <c r="V655" s="3"/>
      <c r="W655" s="3"/>
      <c r="X655" s="3"/>
      <c r="Y655" s="3"/>
      <c r="Z655" s="3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3"/>
      <c r="V656" s="3"/>
      <c r="W656" s="3"/>
      <c r="X656" s="3"/>
      <c r="Y656" s="3"/>
      <c r="Z656" s="3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3"/>
      <c r="V657" s="3"/>
      <c r="W657" s="3"/>
      <c r="X657" s="3"/>
      <c r="Y657" s="3"/>
      <c r="Z657" s="3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3"/>
      <c r="V658" s="3"/>
      <c r="W658" s="3"/>
      <c r="X658" s="3"/>
      <c r="Y658" s="3"/>
      <c r="Z658" s="3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3"/>
      <c r="V659" s="3"/>
      <c r="W659" s="3"/>
      <c r="X659" s="3"/>
      <c r="Y659" s="3"/>
      <c r="Z659" s="3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3"/>
      <c r="V660" s="3"/>
      <c r="W660" s="3"/>
      <c r="X660" s="3"/>
      <c r="Y660" s="3"/>
      <c r="Z660" s="3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3"/>
      <c r="V661" s="3"/>
      <c r="W661" s="3"/>
      <c r="X661" s="3"/>
      <c r="Y661" s="3"/>
      <c r="Z661" s="3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3"/>
      <c r="V662" s="3"/>
      <c r="W662" s="3"/>
      <c r="X662" s="3"/>
      <c r="Y662" s="3"/>
      <c r="Z662" s="3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3"/>
      <c r="V663" s="3"/>
      <c r="W663" s="3"/>
      <c r="X663" s="3"/>
      <c r="Y663" s="3"/>
      <c r="Z663" s="3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3"/>
      <c r="V664" s="3"/>
      <c r="W664" s="3"/>
      <c r="X664" s="3"/>
      <c r="Y664" s="3"/>
      <c r="Z664" s="3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3"/>
      <c r="V665" s="3"/>
      <c r="W665" s="3"/>
      <c r="X665" s="3"/>
      <c r="Y665" s="3"/>
      <c r="Z665" s="3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3"/>
      <c r="V666" s="3"/>
      <c r="W666" s="3"/>
      <c r="X666" s="3"/>
      <c r="Y666" s="3"/>
      <c r="Z666" s="3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3"/>
      <c r="V667" s="3"/>
      <c r="W667" s="3"/>
      <c r="X667" s="3"/>
      <c r="Y667" s="3"/>
      <c r="Z667" s="3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3"/>
      <c r="V668" s="3"/>
      <c r="W668" s="3"/>
      <c r="X668" s="3"/>
      <c r="Y668" s="3"/>
      <c r="Z668" s="3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3"/>
      <c r="V669" s="3"/>
      <c r="W669" s="3"/>
      <c r="X669" s="3"/>
      <c r="Y669" s="3"/>
      <c r="Z669" s="3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3"/>
      <c r="V670" s="3"/>
      <c r="W670" s="3"/>
      <c r="X670" s="3"/>
      <c r="Y670" s="3"/>
      <c r="Z670" s="3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3"/>
      <c r="V671" s="3"/>
      <c r="W671" s="3"/>
      <c r="X671" s="3"/>
      <c r="Y671" s="3"/>
      <c r="Z671" s="3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3"/>
      <c r="V672" s="3"/>
      <c r="W672" s="3"/>
      <c r="X672" s="3"/>
      <c r="Y672" s="3"/>
      <c r="Z672" s="3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3"/>
      <c r="V673" s="3"/>
      <c r="W673" s="3"/>
      <c r="X673" s="3"/>
      <c r="Y673" s="3"/>
      <c r="Z673" s="3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3"/>
      <c r="V674" s="3"/>
      <c r="W674" s="3"/>
      <c r="X674" s="3"/>
      <c r="Y674" s="3"/>
      <c r="Z674" s="3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3"/>
      <c r="V675" s="3"/>
      <c r="W675" s="3"/>
      <c r="X675" s="3"/>
      <c r="Y675" s="3"/>
      <c r="Z675" s="3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3"/>
      <c r="V676" s="3"/>
      <c r="W676" s="3"/>
      <c r="X676" s="3"/>
      <c r="Y676" s="3"/>
      <c r="Z676" s="3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3"/>
      <c r="V677" s="3"/>
      <c r="W677" s="3"/>
      <c r="X677" s="3"/>
      <c r="Y677" s="3"/>
      <c r="Z677" s="3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3"/>
      <c r="V678" s="3"/>
      <c r="W678" s="3"/>
      <c r="X678" s="3"/>
      <c r="Y678" s="3"/>
      <c r="Z678" s="3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3"/>
      <c r="V679" s="3"/>
      <c r="W679" s="3"/>
      <c r="X679" s="3"/>
      <c r="Y679" s="3"/>
      <c r="Z679" s="3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3"/>
      <c r="V680" s="3"/>
      <c r="W680" s="3"/>
      <c r="X680" s="3"/>
      <c r="Y680" s="3"/>
      <c r="Z680" s="3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3"/>
      <c r="V681" s="3"/>
      <c r="W681" s="3"/>
      <c r="X681" s="3"/>
      <c r="Y681" s="3"/>
      <c r="Z681" s="3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3"/>
      <c r="V682" s="3"/>
      <c r="W682" s="3"/>
      <c r="X682" s="3"/>
      <c r="Y682" s="3"/>
      <c r="Z682" s="3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3"/>
      <c r="V683" s="3"/>
      <c r="W683" s="3"/>
      <c r="X683" s="3"/>
      <c r="Y683" s="3"/>
      <c r="Z683" s="3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3"/>
      <c r="V684" s="3"/>
      <c r="W684" s="3"/>
      <c r="X684" s="3"/>
      <c r="Y684" s="3"/>
      <c r="Z684" s="3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3"/>
      <c r="V685" s="3"/>
      <c r="W685" s="3"/>
      <c r="X685" s="3"/>
      <c r="Y685" s="3"/>
      <c r="Z685" s="3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3"/>
      <c r="V686" s="3"/>
      <c r="W686" s="3"/>
      <c r="X686" s="3"/>
      <c r="Y686" s="3"/>
      <c r="Z686" s="3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3"/>
      <c r="V687" s="3"/>
      <c r="W687" s="3"/>
      <c r="X687" s="3"/>
      <c r="Y687" s="3"/>
      <c r="Z687" s="3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3"/>
      <c r="V688" s="3"/>
      <c r="W688" s="3"/>
      <c r="X688" s="3"/>
      <c r="Y688" s="3"/>
      <c r="Z688" s="3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3"/>
      <c r="V689" s="3"/>
      <c r="W689" s="3"/>
      <c r="X689" s="3"/>
      <c r="Y689" s="3"/>
      <c r="Z689" s="3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3"/>
      <c r="V690" s="3"/>
      <c r="W690" s="3"/>
      <c r="X690" s="3"/>
      <c r="Y690" s="3"/>
      <c r="Z690" s="3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3"/>
      <c r="V691" s="3"/>
      <c r="W691" s="3"/>
      <c r="X691" s="3"/>
      <c r="Y691" s="3"/>
      <c r="Z691" s="3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3"/>
      <c r="V692" s="3"/>
      <c r="W692" s="3"/>
      <c r="X692" s="3"/>
      <c r="Y692" s="3"/>
      <c r="Z692" s="3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3"/>
      <c r="V693" s="3"/>
      <c r="W693" s="3"/>
      <c r="X693" s="3"/>
      <c r="Y693" s="3"/>
      <c r="Z693" s="3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3"/>
      <c r="V694" s="3"/>
      <c r="W694" s="3"/>
      <c r="X694" s="3"/>
      <c r="Y694" s="3"/>
      <c r="Z694" s="3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3"/>
      <c r="V695" s="3"/>
      <c r="W695" s="3"/>
      <c r="X695" s="3"/>
      <c r="Y695" s="3"/>
      <c r="Z695" s="3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3"/>
      <c r="V696" s="3"/>
      <c r="W696" s="3"/>
      <c r="X696" s="3"/>
      <c r="Y696" s="3"/>
      <c r="Z696" s="3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3"/>
      <c r="V697" s="3"/>
      <c r="W697" s="3"/>
      <c r="X697" s="3"/>
      <c r="Y697" s="3"/>
      <c r="Z697" s="3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3"/>
      <c r="V698" s="3"/>
      <c r="W698" s="3"/>
      <c r="X698" s="3"/>
      <c r="Y698" s="3"/>
      <c r="Z698" s="3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3"/>
      <c r="V699" s="3"/>
      <c r="W699" s="3"/>
      <c r="X699" s="3"/>
      <c r="Y699" s="3"/>
      <c r="Z699" s="3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3"/>
      <c r="V700" s="3"/>
      <c r="W700" s="3"/>
      <c r="X700" s="3"/>
      <c r="Y700" s="3"/>
      <c r="Z700" s="3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3"/>
      <c r="V701" s="3"/>
      <c r="W701" s="3"/>
      <c r="X701" s="3"/>
      <c r="Y701" s="3"/>
      <c r="Z701" s="3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3"/>
      <c r="V702" s="3"/>
      <c r="W702" s="3"/>
      <c r="X702" s="3"/>
      <c r="Y702" s="3"/>
      <c r="Z702" s="3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3"/>
      <c r="V703" s="3"/>
      <c r="W703" s="3"/>
      <c r="X703" s="3"/>
      <c r="Y703" s="3"/>
      <c r="Z703" s="3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3"/>
      <c r="V704" s="3"/>
      <c r="W704" s="3"/>
      <c r="X704" s="3"/>
      <c r="Y704" s="3"/>
      <c r="Z704" s="3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3"/>
      <c r="V705" s="3"/>
      <c r="W705" s="3"/>
      <c r="X705" s="3"/>
      <c r="Y705" s="3"/>
      <c r="Z705" s="3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3"/>
      <c r="V706" s="3"/>
      <c r="W706" s="3"/>
      <c r="X706" s="3"/>
      <c r="Y706" s="3"/>
      <c r="Z706" s="3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3"/>
      <c r="V707" s="3"/>
      <c r="W707" s="3"/>
      <c r="X707" s="3"/>
      <c r="Y707" s="3"/>
      <c r="Z707" s="3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3"/>
      <c r="V708" s="3"/>
      <c r="W708" s="3"/>
      <c r="X708" s="3"/>
      <c r="Y708" s="3"/>
      <c r="Z708" s="3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3"/>
      <c r="V709" s="3"/>
      <c r="W709" s="3"/>
      <c r="X709" s="3"/>
      <c r="Y709" s="3"/>
      <c r="Z709" s="3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3"/>
      <c r="V710" s="3"/>
      <c r="W710" s="3"/>
      <c r="X710" s="3"/>
      <c r="Y710" s="3"/>
      <c r="Z710" s="3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3"/>
      <c r="V711" s="3"/>
      <c r="W711" s="3"/>
      <c r="X711" s="3"/>
      <c r="Y711" s="3"/>
      <c r="Z711" s="3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3"/>
      <c r="V712" s="3"/>
      <c r="W712" s="3"/>
      <c r="X712" s="3"/>
      <c r="Y712" s="3"/>
      <c r="Z712" s="3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3"/>
      <c r="V713" s="3"/>
      <c r="W713" s="3"/>
      <c r="X713" s="3"/>
      <c r="Y713" s="3"/>
      <c r="Z713" s="3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3"/>
      <c r="V714" s="3"/>
      <c r="W714" s="3"/>
      <c r="X714" s="3"/>
      <c r="Y714" s="3"/>
      <c r="Z714" s="3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3"/>
      <c r="V715" s="3"/>
      <c r="W715" s="3"/>
      <c r="X715" s="3"/>
      <c r="Y715" s="3"/>
      <c r="Z715" s="3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3"/>
      <c r="V716" s="3"/>
      <c r="W716" s="3"/>
      <c r="X716" s="3"/>
      <c r="Y716" s="3"/>
      <c r="Z716" s="3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3"/>
      <c r="V717" s="3"/>
      <c r="W717" s="3"/>
      <c r="X717" s="3"/>
      <c r="Y717" s="3"/>
      <c r="Z717" s="3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3"/>
      <c r="V718" s="3"/>
      <c r="W718" s="3"/>
      <c r="X718" s="3"/>
      <c r="Y718" s="3"/>
      <c r="Z718" s="3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3"/>
      <c r="V719" s="3"/>
      <c r="W719" s="3"/>
      <c r="X719" s="3"/>
      <c r="Y719" s="3"/>
      <c r="Z719" s="3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3"/>
      <c r="V720" s="3"/>
      <c r="W720" s="3"/>
      <c r="X720" s="3"/>
      <c r="Y720" s="3"/>
      <c r="Z720" s="3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3"/>
      <c r="V721" s="3"/>
      <c r="W721" s="3"/>
      <c r="X721" s="3"/>
      <c r="Y721" s="3"/>
      <c r="Z721" s="3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3"/>
      <c r="V722" s="3"/>
      <c r="W722" s="3"/>
      <c r="X722" s="3"/>
      <c r="Y722" s="3"/>
      <c r="Z722" s="3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3"/>
      <c r="V723" s="3"/>
      <c r="W723" s="3"/>
      <c r="X723" s="3"/>
      <c r="Y723" s="3"/>
      <c r="Z723" s="3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3"/>
      <c r="V724" s="3"/>
      <c r="W724" s="3"/>
      <c r="X724" s="3"/>
      <c r="Y724" s="3"/>
      <c r="Z724" s="3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3"/>
      <c r="V725" s="3"/>
      <c r="W725" s="3"/>
      <c r="X725" s="3"/>
      <c r="Y725" s="3"/>
      <c r="Z725" s="3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3"/>
      <c r="V726" s="3"/>
      <c r="W726" s="3"/>
      <c r="X726" s="3"/>
      <c r="Y726" s="3"/>
      <c r="Z726" s="3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3"/>
      <c r="V727" s="3"/>
      <c r="W727" s="3"/>
      <c r="X727" s="3"/>
      <c r="Y727" s="3"/>
      <c r="Z727" s="3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3"/>
      <c r="V728" s="3"/>
      <c r="W728" s="3"/>
      <c r="X728" s="3"/>
      <c r="Y728" s="3"/>
      <c r="Z728" s="3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3"/>
      <c r="V729" s="3"/>
      <c r="W729" s="3"/>
      <c r="X729" s="3"/>
      <c r="Y729" s="3"/>
      <c r="Z729" s="3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3"/>
      <c r="V730" s="3"/>
      <c r="W730" s="3"/>
      <c r="X730" s="3"/>
      <c r="Y730" s="3"/>
      <c r="Z730" s="3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3"/>
      <c r="V731" s="3"/>
      <c r="W731" s="3"/>
      <c r="X731" s="3"/>
      <c r="Y731" s="3"/>
      <c r="Z731" s="3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3"/>
      <c r="V732" s="3"/>
      <c r="W732" s="3"/>
      <c r="X732" s="3"/>
      <c r="Y732" s="3"/>
      <c r="Z732" s="3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3"/>
      <c r="V733" s="3"/>
      <c r="W733" s="3"/>
      <c r="X733" s="3"/>
      <c r="Y733" s="3"/>
      <c r="Z733" s="3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3"/>
      <c r="V734" s="3"/>
      <c r="W734" s="3"/>
      <c r="X734" s="3"/>
      <c r="Y734" s="3"/>
      <c r="Z734" s="3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3"/>
      <c r="V735" s="3"/>
      <c r="W735" s="3"/>
      <c r="X735" s="3"/>
      <c r="Y735" s="3"/>
      <c r="Z735" s="3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3"/>
      <c r="V736" s="3"/>
      <c r="W736" s="3"/>
      <c r="X736" s="3"/>
      <c r="Y736" s="3"/>
      <c r="Z736" s="3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3"/>
      <c r="V737" s="3"/>
      <c r="W737" s="3"/>
      <c r="X737" s="3"/>
      <c r="Y737" s="3"/>
      <c r="Z737" s="3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3"/>
      <c r="V738" s="3"/>
      <c r="W738" s="3"/>
      <c r="X738" s="3"/>
      <c r="Y738" s="3"/>
      <c r="Z738" s="3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3"/>
      <c r="V739" s="3"/>
      <c r="W739" s="3"/>
      <c r="X739" s="3"/>
      <c r="Y739" s="3"/>
      <c r="Z739" s="3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3"/>
      <c r="V740" s="3"/>
      <c r="W740" s="3"/>
      <c r="X740" s="3"/>
      <c r="Y740" s="3"/>
      <c r="Z740" s="3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3"/>
      <c r="V741" s="3"/>
      <c r="W741" s="3"/>
      <c r="X741" s="3"/>
      <c r="Y741" s="3"/>
      <c r="Z741" s="3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3"/>
      <c r="V742" s="3"/>
      <c r="W742" s="3"/>
      <c r="X742" s="3"/>
      <c r="Y742" s="3"/>
      <c r="Z742" s="3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3"/>
      <c r="V743" s="3"/>
      <c r="W743" s="3"/>
      <c r="X743" s="3"/>
      <c r="Y743" s="3"/>
      <c r="Z743" s="3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3"/>
      <c r="V744" s="3"/>
      <c r="W744" s="3"/>
      <c r="X744" s="3"/>
      <c r="Y744" s="3"/>
      <c r="Z744" s="3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3"/>
      <c r="V745" s="3"/>
      <c r="W745" s="3"/>
      <c r="X745" s="3"/>
      <c r="Y745" s="3"/>
      <c r="Z745" s="3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3"/>
      <c r="V746" s="3"/>
      <c r="W746" s="3"/>
      <c r="X746" s="3"/>
      <c r="Y746" s="3"/>
      <c r="Z746" s="3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3"/>
      <c r="V747" s="3"/>
      <c r="W747" s="3"/>
      <c r="X747" s="3"/>
      <c r="Y747" s="3"/>
      <c r="Z747" s="3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3"/>
      <c r="V748" s="3"/>
      <c r="W748" s="3"/>
      <c r="X748" s="3"/>
      <c r="Y748" s="3"/>
      <c r="Z748" s="3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3"/>
      <c r="V749" s="3"/>
      <c r="W749" s="3"/>
      <c r="X749" s="3"/>
      <c r="Y749" s="3"/>
      <c r="Z749" s="3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3"/>
      <c r="V750" s="3"/>
      <c r="W750" s="3"/>
      <c r="X750" s="3"/>
      <c r="Y750" s="3"/>
      <c r="Z750" s="3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3"/>
      <c r="V751" s="3"/>
      <c r="W751" s="3"/>
      <c r="X751" s="3"/>
      <c r="Y751" s="3"/>
      <c r="Z751" s="3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3"/>
      <c r="V752" s="3"/>
      <c r="W752" s="3"/>
      <c r="X752" s="3"/>
      <c r="Y752" s="3"/>
      <c r="Z752" s="3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3"/>
      <c r="V753" s="3"/>
      <c r="W753" s="3"/>
      <c r="X753" s="3"/>
      <c r="Y753" s="3"/>
      <c r="Z753" s="3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3"/>
      <c r="V754" s="3"/>
      <c r="W754" s="3"/>
      <c r="X754" s="3"/>
      <c r="Y754" s="3"/>
      <c r="Z754" s="3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3"/>
      <c r="V755" s="3"/>
      <c r="W755" s="3"/>
      <c r="X755" s="3"/>
      <c r="Y755" s="3"/>
      <c r="Z755" s="3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3"/>
      <c r="V756" s="3"/>
      <c r="W756" s="3"/>
      <c r="X756" s="3"/>
      <c r="Y756" s="3"/>
      <c r="Z756" s="3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3"/>
      <c r="V757" s="3"/>
      <c r="W757" s="3"/>
      <c r="X757" s="3"/>
      <c r="Y757" s="3"/>
      <c r="Z757" s="3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3"/>
      <c r="V758" s="3"/>
      <c r="W758" s="3"/>
      <c r="X758" s="3"/>
      <c r="Y758" s="3"/>
      <c r="Z758" s="3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3"/>
      <c r="V759" s="3"/>
      <c r="W759" s="3"/>
      <c r="X759" s="3"/>
      <c r="Y759" s="3"/>
      <c r="Z759" s="3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3"/>
      <c r="V760" s="3"/>
      <c r="W760" s="3"/>
      <c r="X760" s="3"/>
      <c r="Y760" s="3"/>
      <c r="Z760" s="3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3"/>
      <c r="V761" s="3"/>
      <c r="W761" s="3"/>
      <c r="X761" s="3"/>
      <c r="Y761" s="3"/>
      <c r="Z761" s="3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3"/>
      <c r="V762" s="3"/>
      <c r="W762" s="3"/>
      <c r="X762" s="3"/>
      <c r="Y762" s="3"/>
      <c r="Z762" s="3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3"/>
      <c r="V763" s="3"/>
      <c r="W763" s="3"/>
      <c r="X763" s="3"/>
      <c r="Y763" s="3"/>
      <c r="Z763" s="3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3"/>
      <c r="V764" s="3"/>
      <c r="W764" s="3"/>
      <c r="X764" s="3"/>
      <c r="Y764" s="3"/>
      <c r="Z764" s="3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3"/>
      <c r="V765" s="3"/>
      <c r="W765" s="3"/>
      <c r="X765" s="3"/>
      <c r="Y765" s="3"/>
      <c r="Z765" s="3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3"/>
      <c r="V766" s="3"/>
      <c r="W766" s="3"/>
      <c r="X766" s="3"/>
      <c r="Y766" s="3"/>
      <c r="Z766" s="3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3"/>
      <c r="V767" s="3"/>
      <c r="W767" s="3"/>
      <c r="X767" s="3"/>
      <c r="Y767" s="3"/>
      <c r="Z767" s="3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3"/>
      <c r="V768" s="3"/>
      <c r="W768" s="3"/>
      <c r="X768" s="3"/>
      <c r="Y768" s="3"/>
      <c r="Z768" s="3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3"/>
      <c r="V769" s="3"/>
      <c r="W769" s="3"/>
      <c r="X769" s="3"/>
      <c r="Y769" s="3"/>
      <c r="Z769" s="3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3"/>
      <c r="V770" s="3"/>
      <c r="W770" s="3"/>
      <c r="X770" s="3"/>
      <c r="Y770" s="3"/>
      <c r="Z770" s="3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3"/>
      <c r="V771" s="3"/>
      <c r="W771" s="3"/>
      <c r="X771" s="3"/>
      <c r="Y771" s="3"/>
      <c r="Z771" s="3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3"/>
      <c r="V772" s="3"/>
      <c r="W772" s="3"/>
      <c r="X772" s="3"/>
      <c r="Y772" s="3"/>
      <c r="Z772" s="3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3"/>
      <c r="V773" s="3"/>
      <c r="W773" s="3"/>
      <c r="X773" s="3"/>
      <c r="Y773" s="3"/>
      <c r="Z773" s="3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3"/>
      <c r="V774" s="3"/>
      <c r="W774" s="3"/>
      <c r="X774" s="3"/>
      <c r="Y774" s="3"/>
      <c r="Z774" s="3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3"/>
      <c r="V775" s="3"/>
      <c r="W775" s="3"/>
      <c r="X775" s="3"/>
      <c r="Y775" s="3"/>
      <c r="Z775" s="3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3"/>
      <c r="V776" s="3"/>
      <c r="W776" s="3"/>
      <c r="X776" s="3"/>
      <c r="Y776" s="3"/>
      <c r="Z776" s="3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3"/>
      <c r="V777" s="3"/>
      <c r="W777" s="3"/>
      <c r="X777" s="3"/>
      <c r="Y777" s="3"/>
      <c r="Z777" s="3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3"/>
      <c r="V778" s="3"/>
      <c r="W778" s="3"/>
      <c r="X778" s="3"/>
      <c r="Y778" s="3"/>
      <c r="Z778" s="3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3"/>
      <c r="V779" s="3"/>
      <c r="W779" s="3"/>
      <c r="X779" s="3"/>
      <c r="Y779" s="3"/>
      <c r="Z779" s="3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3"/>
      <c r="V780" s="3"/>
      <c r="W780" s="3"/>
      <c r="X780" s="3"/>
      <c r="Y780" s="3"/>
      <c r="Z780" s="3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3"/>
      <c r="V781" s="3"/>
      <c r="W781" s="3"/>
      <c r="X781" s="3"/>
      <c r="Y781" s="3"/>
      <c r="Z781" s="3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3"/>
      <c r="V782" s="3"/>
      <c r="W782" s="3"/>
      <c r="X782" s="3"/>
      <c r="Y782" s="3"/>
      <c r="Z782" s="3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3"/>
      <c r="V783" s="3"/>
      <c r="W783" s="3"/>
      <c r="X783" s="3"/>
      <c r="Y783" s="3"/>
      <c r="Z783" s="3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3"/>
      <c r="V784" s="3"/>
      <c r="W784" s="3"/>
      <c r="X784" s="3"/>
      <c r="Y784" s="3"/>
      <c r="Z784" s="3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3"/>
      <c r="V785" s="3"/>
      <c r="W785" s="3"/>
      <c r="X785" s="3"/>
      <c r="Y785" s="3"/>
      <c r="Z785" s="3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3"/>
      <c r="V786" s="3"/>
      <c r="W786" s="3"/>
      <c r="X786" s="3"/>
      <c r="Y786" s="3"/>
      <c r="Z786" s="3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3"/>
      <c r="V787" s="3"/>
      <c r="W787" s="3"/>
      <c r="X787" s="3"/>
      <c r="Y787" s="3"/>
      <c r="Z787" s="3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3"/>
      <c r="V788" s="3"/>
      <c r="W788" s="3"/>
      <c r="X788" s="3"/>
      <c r="Y788" s="3"/>
      <c r="Z788" s="3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3"/>
      <c r="V789" s="3"/>
      <c r="W789" s="3"/>
      <c r="X789" s="3"/>
      <c r="Y789" s="3"/>
      <c r="Z789" s="3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3"/>
      <c r="V790" s="3"/>
      <c r="W790" s="3"/>
      <c r="X790" s="3"/>
      <c r="Y790" s="3"/>
      <c r="Z790" s="3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3"/>
      <c r="V791" s="3"/>
      <c r="W791" s="3"/>
      <c r="X791" s="3"/>
      <c r="Y791" s="3"/>
      <c r="Z791" s="3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3"/>
      <c r="V792" s="3"/>
      <c r="W792" s="3"/>
      <c r="X792" s="3"/>
      <c r="Y792" s="3"/>
      <c r="Z792" s="3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3"/>
      <c r="V793" s="3"/>
      <c r="W793" s="3"/>
      <c r="X793" s="3"/>
      <c r="Y793" s="3"/>
      <c r="Z793" s="3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3"/>
      <c r="V794" s="3"/>
      <c r="W794" s="3"/>
      <c r="X794" s="3"/>
      <c r="Y794" s="3"/>
      <c r="Z794" s="3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3"/>
      <c r="V795" s="3"/>
      <c r="W795" s="3"/>
      <c r="X795" s="3"/>
      <c r="Y795" s="3"/>
      <c r="Z795" s="3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3"/>
      <c r="V796" s="3"/>
      <c r="W796" s="3"/>
      <c r="X796" s="3"/>
      <c r="Y796" s="3"/>
      <c r="Z796" s="3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3"/>
      <c r="V797" s="3"/>
      <c r="W797" s="3"/>
      <c r="X797" s="3"/>
      <c r="Y797" s="3"/>
      <c r="Z797" s="3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3"/>
      <c r="V798" s="3"/>
      <c r="W798" s="3"/>
      <c r="X798" s="3"/>
      <c r="Y798" s="3"/>
      <c r="Z798" s="3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3"/>
      <c r="V799" s="3"/>
      <c r="W799" s="3"/>
      <c r="X799" s="3"/>
      <c r="Y799" s="3"/>
      <c r="Z799" s="3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3"/>
      <c r="V800" s="3"/>
      <c r="W800" s="3"/>
      <c r="X800" s="3"/>
      <c r="Y800" s="3"/>
      <c r="Z800" s="3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3"/>
      <c r="V801" s="3"/>
      <c r="W801" s="3"/>
      <c r="X801" s="3"/>
      <c r="Y801" s="3"/>
      <c r="Z801" s="3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3"/>
      <c r="V802" s="3"/>
      <c r="W802" s="3"/>
      <c r="X802" s="3"/>
      <c r="Y802" s="3"/>
      <c r="Z802" s="3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3"/>
      <c r="V803" s="3"/>
      <c r="W803" s="3"/>
      <c r="X803" s="3"/>
      <c r="Y803" s="3"/>
      <c r="Z803" s="3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3"/>
      <c r="V804" s="3"/>
      <c r="W804" s="3"/>
      <c r="X804" s="3"/>
      <c r="Y804" s="3"/>
      <c r="Z804" s="3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3"/>
      <c r="V805" s="3"/>
      <c r="W805" s="3"/>
      <c r="X805" s="3"/>
      <c r="Y805" s="3"/>
      <c r="Z805" s="3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3"/>
      <c r="V806" s="3"/>
      <c r="W806" s="3"/>
      <c r="X806" s="3"/>
      <c r="Y806" s="3"/>
      <c r="Z806" s="3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3"/>
      <c r="V807" s="3"/>
      <c r="W807" s="3"/>
      <c r="X807" s="3"/>
      <c r="Y807" s="3"/>
      <c r="Z807" s="3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3"/>
      <c r="V808" s="3"/>
      <c r="W808" s="3"/>
      <c r="X808" s="3"/>
      <c r="Y808" s="3"/>
      <c r="Z808" s="3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3"/>
      <c r="V809" s="3"/>
      <c r="W809" s="3"/>
      <c r="X809" s="3"/>
      <c r="Y809" s="3"/>
      <c r="Z809" s="3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3"/>
      <c r="V810" s="3"/>
      <c r="W810" s="3"/>
      <c r="X810" s="3"/>
      <c r="Y810" s="3"/>
      <c r="Z810" s="3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3"/>
      <c r="V811" s="3"/>
      <c r="W811" s="3"/>
      <c r="X811" s="3"/>
      <c r="Y811" s="3"/>
      <c r="Z811" s="3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3"/>
      <c r="V812" s="3"/>
      <c r="W812" s="3"/>
      <c r="X812" s="3"/>
      <c r="Y812" s="3"/>
      <c r="Z812" s="3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3"/>
      <c r="V813" s="3"/>
      <c r="W813" s="3"/>
      <c r="X813" s="3"/>
      <c r="Y813" s="3"/>
      <c r="Z813" s="3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3"/>
      <c r="V814" s="3"/>
      <c r="W814" s="3"/>
      <c r="X814" s="3"/>
      <c r="Y814" s="3"/>
      <c r="Z814" s="3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3"/>
      <c r="V815" s="3"/>
      <c r="W815" s="3"/>
      <c r="X815" s="3"/>
      <c r="Y815" s="3"/>
      <c r="Z815" s="3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3"/>
      <c r="V816" s="3"/>
      <c r="W816" s="3"/>
      <c r="X816" s="3"/>
      <c r="Y816" s="3"/>
      <c r="Z816" s="3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3"/>
      <c r="V817" s="3"/>
      <c r="W817" s="3"/>
      <c r="X817" s="3"/>
      <c r="Y817" s="3"/>
      <c r="Z817" s="3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3"/>
      <c r="V818" s="3"/>
      <c r="W818" s="3"/>
      <c r="X818" s="3"/>
      <c r="Y818" s="3"/>
      <c r="Z818" s="3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3"/>
      <c r="V819" s="3"/>
      <c r="W819" s="3"/>
      <c r="X819" s="3"/>
      <c r="Y819" s="3"/>
      <c r="Z819" s="3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3"/>
      <c r="V820" s="3"/>
      <c r="W820" s="3"/>
      <c r="X820" s="3"/>
      <c r="Y820" s="3"/>
      <c r="Z820" s="3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3"/>
      <c r="V821" s="3"/>
      <c r="W821" s="3"/>
      <c r="X821" s="3"/>
      <c r="Y821" s="3"/>
      <c r="Z821" s="3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3"/>
      <c r="V822" s="3"/>
      <c r="W822" s="3"/>
      <c r="X822" s="3"/>
      <c r="Y822" s="3"/>
      <c r="Z822" s="3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3"/>
      <c r="V823" s="3"/>
      <c r="W823" s="3"/>
      <c r="X823" s="3"/>
      <c r="Y823" s="3"/>
      <c r="Z823" s="3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3"/>
      <c r="V824" s="3"/>
      <c r="W824" s="3"/>
      <c r="X824" s="3"/>
      <c r="Y824" s="3"/>
      <c r="Z824" s="3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3"/>
      <c r="V825" s="3"/>
      <c r="W825" s="3"/>
      <c r="X825" s="3"/>
      <c r="Y825" s="3"/>
      <c r="Z825" s="3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3"/>
      <c r="V826" s="3"/>
      <c r="W826" s="3"/>
      <c r="X826" s="3"/>
      <c r="Y826" s="3"/>
      <c r="Z826" s="3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3"/>
      <c r="V827" s="3"/>
      <c r="W827" s="3"/>
      <c r="X827" s="3"/>
      <c r="Y827" s="3"/>
      <c r="Z827" s="3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3"/>
      <c r="V828" s="3"/>
      <c r="W828" s="3"/>
      <c r="X828" s="3"/>
      <c r="Y828" s="3"/>
      <c r="Z828" s="3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3"/>
      <c r="V829" s="3"/>
      <c r="W829" s="3"/>
      <c r="X829" s="3"/>
      <c r="Y829" s="3"/>
      <c r="Z829" s="3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3"/>
      <c r="V830" s="3"/>
      <c r="W830" s="3"/>
      <c r="X830" s="3"/>
      <c r="Y830" s="3"/>
      <c r="Z830" s="3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3"/>
      <c r="V831" s="3"/>
      <c r="W831" s="3"/>
      <c r="X831" s="3"/>
      <c r="Y831" s="3"/>
      <c r="Z831" s="3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3"/>
      <c r="V832" s="3"/>
      <c r="W832" s="3"/>
      <c r="X832" s="3"/>
      <c r="Y832" s="3"/>
      <c r="Z832" s="3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3"/>
      <c r="V833" s="3"/>
      <c r="W833" s="3"/>
      <c r="X833" s="3"/>
      <c r="Y833" s="3"/>
      <c r="Z833" s="3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3"/>
      <c r="V834" s="3"/>
      <c r="W834" s="3"/>
      <c r="X834" s="3"/>
      <c r="Y834" s="3"/>
      <c r="Z834" s="3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3"/>
      <c r="V835" s="3"/>
      <c r="W835" s="3"/>
      <c r="X835" s="3"/>
      <c r="Y835" s="3"/>
      <c r="Z835" s="3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3"/>
      <c r="V836" s="3"/>
      <c r="W836" s="3"/>
      <c r="X836" s="3"/>
      <c r="Y836" s="3"/>
      <c r="Z836" s="3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3"/>
      <c r="V837" s="3"/>
      <c r="W837" s="3"/>
      <c r="X837" s="3"/>
      <c r="Y837" s="3"/>
      <c r="Z837" s="3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3"/>
      <c r="V838" s="3"/>
      <c r="W838" s="3"/>
      <c r="X838" s="3"/>
      <c r="Y838" s="3"/>
      <c r="Z838" s="3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3"/>
      <c r="V839" s="3"/>
      <c r="W839" s="3"/>
      <c r="X839" s="3"/>
      <c r="Y839" s="3"/>
      <c r="Z839" s="3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3"/>
      <c r="V840" s="3"/>
      <c r="W840" s="3"/>
      <c r="X840" s="3"/>
      <c r="Y840" s="3"/>
      <c r="Z840" s="3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3"/>
      <c r="V841" s="3"/>
      <c r="W841" s="3"/>
      <c r="X841" s="3"/>
      <c r="Y841" s="3"/>
      <c r="Z841" s="3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3"/>
      <c r="V842" s="3"/>
      <c r="W842" s="3"/>
      <c r="X842" s="3"/>
      <c r="Y842" s="3"/>
      <c r="Z842" s="3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3"/>
      <c r="V843" s="3"/>
      <c r="W843" s="3"/>
      <c r="X843" s="3"/>
      <c r="Y843" s="3"/>
      <c r="Z843" s="3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3"/>
      <c r="V844" s="3"/>
      <c r="W844" s="3"/>
      <c r="X844" s="3"/>
      <c r="Y844" s="3"/>
      <c r="Z844" s="3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3"/>
      <c r="V845" s="3"/>
      <c r="W845" s="3"/>
      <c r="X845" s="3"/>
      <c r="Y845" s="3"/>
      <c r="Z845" s="3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3"/>
      <c r="V846" s="3"/>
      <c r="W846" s="3"/>
      <c r="X846" s="3"/>
      <c r="Y846" s="3"/>
      <c r="Z846" s="3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3"/>
      <c r="V847" s="3"/>
      <c r="W847" s="3"/>
      <c r="X847" s="3"/>
      <c r="Y847" s="3"/>
      <c r="Z847" s="3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3"/>
      <c r="V848" s="3"/>
      <c r="W848" s="3"/>
      <c r="X848" s="3"/>
      <c r="Y848" s="3"/>
      <c r="Z848" s="3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3"/>
      <c r="V849" s="3"/>
      <c r="W849" s="3"/>
      <c r="X849" s="3"/>
      <c r="Y849" s="3"/>
      <c r="Z849" s="3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3"/>
      <c r="V850" s="3"/>
      <c r="W850" s="3"/>
      <c r="X850" s="3"/>
      <c r="Y850" s="3"/>
      <c r="Z850" s="3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3"/>
      <c r="V851" s="3"/>
      <c r="W851" s="3"/>
      <c r="X851" s="3"/>
      <c r="Y851" s="3"/>
      <c r="Z851" s="3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3"/>
      <c r="V852" s="3"/>
      <c r="W852" s="3"/>
      <c r="X852" s="3"/>
      <c r="Y852" s="3"/>
      <c r="Z852" s="3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3"/>
      <c r="V853" s="3"/>
      <c r="W853" s="3"/>
      <c r="X853" s="3"/>
      <c r="Y853" s="3"/>
      <c r="Z853" s="3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3"/>
      <c r="V854" s="3"/>
      <c r="W854" s="3"/>
      <c r="X854" s="3"/>
      <c r="Y854" s="3"/>
      <c r="Z854" s="3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3"/>
      <c r="V855" s="3"/>
      <c r="W855" s="3"/>
      <c r="X855" s="3"/>
      <c r="Y855" s="3"/>
      <c r="Z855" s="3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3"/>
      <c r="V856" s="3"/>
      <c r="W856" s="3"/>
      <c r="X856" s="3"/>
      <c r="Y856" s="3"/>
      <c r="Z856" s="3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3"/>
      <c r="V857" s="3"/>
      <c r="W857" s="3"/>
      <c r="X857" s="3"/>
      <c r="Y857" s="3"/>
      <c r="Z857" s="3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3"/>
      <c r="V858" s="3"/>
      <c r="W858" s="3"/>
      <c r="X858" s="3"/>
      <c r="Y858" s="3"/>
      <c r="Z858" s="3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3"/>
      <c r="V859" s="3"/>
      <c r="W859" s="3"/>
      <c r="X859" s="3"/>
      <c r="Y859" s="3"/>
      <c r="Z859" s="3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3"/>
      <c r="V860" s="3"/>
      <c r="W860" s="3"/>
      <c r="X860" s="3"/>
      <c r="Y860" s="3"/>
      <c r="Z860" s="3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3"/>
      <c r="V861" s="3"/>
      <c r="W861" s="3"/>
      <c r="X861" s="3"/>
      <c r="Y861" s="3"/>
      <c r="Z861" s="3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3"/>
      <c r="V862" s="3"/>
      <c r="W862" s="3"/>
      <c r="X862" s="3"/>
      <c r="Y862" s="3"/>
      <c r="Z862" s="3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3"/>
      <c r="V863" s="3"/>
      <c r="W863" s="3"/>
      <c r="X863" s="3"/>
      <c r="Y863" s="3"/>
      <c r="Z863" s="3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3"/>
      <c r="V864" s="3"/>
      <c r="W864" s="3"/>
      <c r="X864" s="3"/>
      <c r="Y864" s="3"/>
      <c r="Z864" s="3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3"/>
      <c r="V865" s="3"/>
      <c r="W865" s="3"/>
      <c r="X865" s="3"/>
      <c r="Y865" s="3"/>
      <c r="Z865" s="3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3"/>
      <c r="V866" s="3"/>
      <c r="W866" s="3"/>
      <c r="X866" s="3"/>
      <c r="Y866" s="3"/>
      <c r="Z866" s="3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3"/>
      <c r="V867" s="3"/>
      <c r="W867" s="3"/>
      <c r="X867" s="3"/>
      <c r="Y867" s="3"/>
      <c r="Z867" s="3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3"/>
      <c r="V868" s="3"/>
      <c r="W868" s="3"/>
      <c r="X868" s="3"/>
      <c r="Y868" s="3"/>
      <c r="Z868" s="3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3"/>
      <c r="V869" s="3"/>
      <c r="W869" s="3"/>
      <c r="X869" s="3"/>
      <c r="Y869" s="3"/>
      <c r="Z869" s="3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3"/>
      <c r="V870" s="3"/>
      <c r="W870" s="3"/>
      <c r="X870" s="3"/>
      <c r="Y870" s="3"/>
      <c r="Z870" s="3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3"/>
      <c r="V871" s="3"/>
      <c r="W871" s="3"/>
      <c r="X871" s="3"/>
      <c r="Y871" s="3"/>
      <c r="Z871" s="3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3"/>
      <c r="V872" s="3"/>
      <c r="W872" s="3"/>
      <c r="X872" s="3"/>
      <c r="Y872" s="3"/>
      <c r="Z872" s="3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3"/>
      <c r="V873" s="3"/>
      <c r="W873" s="3"/>
      <c r="X873" s="3"/>
      <c r="Y873" s="3"/>
      <c r="Z873" s="3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3"/>
      <c r="V874" s="3"/>
      <c r="W874" s="3"/>
      <c r="X874" s="3"/>
      <c r="Y874" s="3"/>
      <c r="Z874" s="3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3"/>
      <c r="V875" s="3"/>
      <c r="W875" s="3"/>
      <c r="X875" s="3"/>
      <c r="Y875" s="3"/>
      <c r="Z875" s="3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3"/>
      <c r="V876" s="3"/>
      <c r="W876" s="3"/>
      <c r="X876" s="3"/>
      <c r="Y876" s="3"/>
      <c r="Z876" s="3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3"/>
      <c r="V877" s="3"/>
      <c r="W877" s="3"/>
      <c r="X877" s="3"/>
      <c r="Y877" s="3"/>
      <c r="Z877" s="3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3"/>
      <c r="V878" s="3"/>
      <c r="W878" s="3"/>
      <c r="X878" s="3"/>
      <c r="Y878" s="3"/>
      <c r="Z878" s="3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3"/>
      <c r="V879" s="3"/>
      <c r="W879" s="3"/>
      <c r="X879" s="3"/>
      <c r="Y879" s="3"/>
      <c r="Z879" s="3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3"/>
      <c r="V880" s="3"/>
      <c r="W880" s="3"/>
      <c r="X880" s="3"/>
      <c r="Y880" s="3"/>
      <c r="Z880" s="3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3"/>
      <c r="V881" s="3"/>
      <c r="W881" s="3"/>
      <c r="X881" s="3"/>
      <c r="Y881" s="3"/>
      <c r="Z881" s="3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3"/>
      <c r="V882" s="3"/>
      <c r="W882" s="3"/>
      <c r="X882" s="3"/>
      <c r="Y882" s="3"/>
      <c r="Z882" s="3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3"/>
      <c r="V883" s="3"/>
      <c r="W883" s="3"/>
      <c r="X883" s="3"/>
      <c r="Y883" s="3"/>
      <c r="Z883" s="3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3"/>
      <c r="V884" s="3"/>
      <c r="W884" s="3"/>
      <c r="X884" s="3"/>
      <c r="Y884" s="3"/>
      <c r="Z884" s="3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3"/>
      <c r="V885" s="3"/>
      <c r="W885" s="3"/>
      <c r="X885" s="3"/>
      <c r="Y885" s="3"/>
      <c r="Z885" s="3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3"/>
      <c r="V886" s="3"/>
      <c r="W886" s="3"/>
      <c r="X886" s="3"/>
      <c r="Y886" s="3"/>
      <c r="Z886" s="3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3"/>
      <c r="V887" s="3"/>
      <c r="W887" s="3"/>
      <c r="X887" s="3"/>
      <c r="Y887" s="3"/>
      <c r="Z887" s="3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3"/>
      <c r="V888" s="3"/>
      <c r="W888" s="3"/>
      <c r="X888" s="3"/>
      <c r="Y888" s="3"/>
      <c r="Z888" s="3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3"/>
      <c r="V889" s="3"/>
      <c r="W889" s="3"/>
      <c r="X889" s="3"/>
      <c r="Y889" s="3"/>
      <c r="Z889" s="3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3"/>
      <c r="V890" s="3"/>
      <c r="W890" s="3"/>
      <c r="X890" s="3"/>
      <c r="Y890" s="3"/>
      <c r="Z890" s="3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3"/>
      <c r="V891" s="3"/>
      <c r="W891" s="3"/>
      <c r="X891" s="3"/>
      <c r="Y891" s="3"/>
      <c r="Z891" s="3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3"/>
      <c r="V892" s="3"/>
      <c r="W892" s="3"/>
      <c r="X892" s="3"/>
      <c r="Y892" s="3"/>
      <c r="Z892" s="3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3"/>
      <c r="V893" s="3"/>
      <c r="W893" s="3"/>
      <c r="X893" s="3"/>
      <c r="Y893" s="3"/>
      <c r="Z893" s="3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3"/>
      <c r="V894" s="3"/>
      <c r="W894" s="3"/>
      <c r="X894" s="3"/>
      <c r="Y894" s="3"/>
      <c r="Z894" s="3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3"/>
      <c r="V895" s="3"/>
      <c r="W895" s="3"/>
      <c r="X895" s="3"/>
      <c r="Y895" s="3"/>
      <c r="Z895" s="3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3"/>
      <c r="V896" s="3"/>
      <c r="W896" s="3"/>
      <c r="X896" s="3"/>
      <c r="Y896" s="3"/>
      <c r="Z896" s="3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3"/>
      <c r="V897" s="3"/>
      <c r="W897" s="3"/>
      <c r="X897" s="3"/>
      <c r="Y897" s="3"/>
      <c r="Z897" s="3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3"/>
      <c r="V898" s="3"/>
      <c r="W898" s="3"/>
      <c r="X898" s="3"/>
      <c r="Y898" s="3"/>
      <c r="Z898" s="3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3"/>
      <c r="V899" s="3"/>
      <c r="W899" s="3"/>
      <c r="X899" s="3"/>
      <c r="Y899" s="3"/>
      <c r="Z899" s="3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3"/>
      <c r="V900" s="3"/>
      <c r="W900" s="3"/>
      <c r="X900" s="3"/>
      <c r="Y900" s="3"/>
      <c r="Z900" s="3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3"/>
      <c r="V901" s="3"/>
      <c r="W901" s="3"/>
      <c r="X901" s="3"/>
      <c r="Y901" s="3"/>
      <c r="Z901" s="3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3"/>
      <c r="V902" s="3"/>
      <c r="W902" s="3"/>
      <c r="X902" s="3"/>
      <c r="Y902" s="3"/>
      <c r="Z902" s="3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3"/>
      <c r="V903" s="3"/>
      <c r="W903" s="3"/>
      <c r="X903" s="3"/>
      <c r="Y903" s="3"/>
      <c r="Z903" s="3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3"/>
      <c r="V904" s="3"/>
      <c r="W904" s="3"/>
      <c r="X904" s="3"/>
      <c r="Y904" s="3"/>
      <c r="Z904" s="3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3"/>
      <c r="V905" s="3"/>
      <c r="W905" s="3"/>
      <c r="X905" s="3"/>
      <c r="Y905" s="3"/>
      <c r="Z905" s="3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3"/>
      <c r="V906" s="3"/>
      <c r="W906" s="3"/>
      <c r="X906" s="3"/>
      <c r="Y906" s="3"/>
      <c r="Z906" s="3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3"/>
      <c r="V907" s="3"/>
      <c r="W907" s="3"/>
      <c r="X907" s="3"/>
      <c r="Y907" s="3"/>
      <c r="Z907" s="3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3"/>
      <c r="V908" s="3"/>
      <c r="W908" s="3"/>
      <c r="X908" s="3"/>
      <c r="Y908" s="3"/>
      <c r="Z908" s="3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3"/>
      <c r="V909" s="3"/>
      <c r="W909" s="3"/>
      <c r="X909" s="3"/>
      <c r="Y909" s="3"/>
      <c r="Z909" s="3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3"/>
      <c r="V910" s="3"/>
      <c r="W910" s="3"/>
      <c r="X910" s="3"/>
      <c r="Y910" s="3"/>
      <c r="Z910" s="3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3"/>
      <c r="V911" s="3"/>
      <c r="W911" s="3"/>
      <c r="X911" s="3"/>
      <c r="Y911" s="3"/>
      <c r="Z911" s="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3"/>
      <c r="V912" s="3"/>
      <c r="W912" s="3"/>
      <c r="X912" s="3"/>
      <c r="Y912" s="3"/>
      <c r="Z912" s="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3"/>
      <c r="V913" s="3"/>
      <c r="W913" s="3"/>
      <c r="X913" s="3"/>
      <c r="Y913" s="3"/>
      <c r="Z913" s="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3"/>
      <c r="V914" s="3"/>
      <c r="W914" s="3"/>
      <c r="X914" s="3"/>
      <c r="Y914" s="3"/>
      <c r="Z914" s="3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3"/>
      <c r="V915" s="3"/>
      <c r="W915" s="3"/>
      <c r="X915" s="3"/>
      <c r="Y915" s="3"/>
      <c r="Z915" s="3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3"/>
      <c r="V916" s="3"/>
      <c r="W916" s="3"/>
      <c r="X916" s="3"/>
      <c r="Y916" s="3"/>
      <c r="Z916" s="3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3"/>
      <c r="V917" s="3"/>
      <c r="W917" s="3"/>
      <c r="X917" s="3"/>
      <c r="Y917" s="3"/>
      <c r="Z917" s="3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3"/>
      <c r="V918" s="3"/>
      <c r="W918" s="3"/>
      <c r="X918" s="3"/>
      <c r="Y918" s="3"/>
      <c r="Z918" s="3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3"/>
      <c r="V919" s="3"/>
      <c r="W919" s="3"/>
      <c r="X919" s="3"/>
      <c r="Y919" s="3"/>
      <c r="Z919" s="3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3"/>
      <c r="V920" s="3"/>
      <c r="W920" s="3"/>
      <c r="X920" s="3"/>
      <c r="Y920" s="3"/>
      <c r="Z920" s="3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3"/>
      <c r="V921" s="3"/>
      <c r="W921" s="3"/>
      <c r="X921" s="3"/>
      <c r="Y921" s="3"/>
      <c r="Z921" s="3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3"/>
      <c r="V922" s="3"/>
      <c r="W922" s="3"/>
      <c r="X922" s="3"/>
      <c r="Y922" s="3"/>
      <c r="Z922" s="3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3"/>
      <c r="V923" s="3"/>
      <c r="W923" s="3"/>
      <c r="X923" s="3"/>
      <c r="Y923" s="3"/>
      <c r="Z923" s="3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3"/>
      <c r="V924" s="3"/>
      <c r="W924" s="3"/>
      <c r="X924" s="3"/>
      <c r="Y924" s="3"/>
      <c r="Z924" s="3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3"/>
      <c r="V925" s="3"/>
      <c r="W925" s="3"/>
      <c r="X925" s="3"/>
      <c r="Y925" s="3"/>
      <c r="Z925" s="3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3"/>
      <c r="V926" s="3"/>
      <c r="W926" s="3"/>
      <c r="X926" s="3"/>
      <c r="Y926" s="3"/>
      <c r="Z926" s="3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3"/>
      <c r="V927" s="3"/>
      <c r="W927" s="3"/>
      <c r="X927" s="3"/>
      <c r="Y927" s="3"/>
      <c r="Z927" s="3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3"/>
      <c r="V928" s="3"/>
      <c r="W928" s="3"/>
      <c r="X928" s="3"/>
      <c r="Y928" s="3"/>
      <c r="Z928" s="3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3"/>
      <c r="V929" s="3"/>
      <c r="W929" s="3"/>
      <c r="X929" s="3"/>
      <c r="Y929" s="3"/>
      <c r="Z929" s="3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3"/>
      <c r="V930" s="3"/>
      <c r="W930" s="3"/>
      <c r="X930" s="3"/>
      <c r="Y930" s="3"/>
      <c r="Z930" s="3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3"/>
      <c r="V931" s="3"/>
      <c r="W931" s="3"/>
      <c r="X931" s="3"/>
      <c r="Y931" s="3"/>
      <c r="Z931" s="3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3"/>
      <c r="V932" s="3"/>
      <c r="W932" s="3"/>
      <c r="X932" s="3"/>
      <c r="Y932" s="3"/>
      <c r="Z932" s="3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3"/>
      <c r="V933" s="3"/>
      <c r="W933" s="3"/>
      <c r="X933" s="3"/>
      <c r="Y933" s="3"/>
      <c r="Z933" s="3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3"/>
      <c r="V934" s="3"/>
      <c r="W934" s="3"/>
      <c r="X934" s="3"/>
      <c r="Y934" s="3"/>
      <c r="Z934" s="3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3"/>
      <c r="V935" s="3"/>
      <c r="W935" s="3"/>
      <c r="X935" s="3"/>
      <c r="Y935" s="3"/>
      <c r="Z935" s="3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3"/>
      <c r="V936" s="3"/>
      <c r="W936" s="3"/>
      <c r="X936" s="3"/>
      <c r="Y936" s="3"/>
      <c r="Z936" s="3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3"/>
      <c r="V937" s="3"/>
      <c r="W937" s="3"/>
      <c r="X937" s="3"/>
      <c r="Y937" s="3"/>
      <c r="Z937" s="3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3"/>
      <c r="V938" s="3"/>
      <c r="W938" s="3"/>
      <c r="X938" s="3"/>
      <c r="Y938" s="3"/>
      <c r="Z938" s="3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3"/>
      <c r="V939" s="3"/>
      <c r="W939" s="3"/>
      <c r="X939" s="3"/>
      <c r="Y939" s="3"/>
      <c r="Z939" s="3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3"/>
      <c r="V940" s="3"/>
      <c r="W940" s="3"/>
      <c r="X940" s="3"/>
      <c r="Y940" s="3"/>
      <c r="Z940" s="3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3"/>
      <c r="V941" s="3"/>
      <c r="W941" s="3"/>
      <c r="X941" s="3"/>
      <c r="Y941" s="3"/>
      <c r="Z941" s="3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3"/>
      <c r="V942" s="3"/>
      <c r="W942" s="3"/>
      <c r="X942" s="3"/>
      <c r="Y942" s="3"/>
      <c r="Z942" s="3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3"/>
      <c r="V943" s="3"/>
      <c r="W943" s="3"/>
      <c r="X943" s="3"/>
      <c r="Y943" s="3"/>
      <c r="Z943" s="3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3"/>
      <c r="V944" s="3"/>
      <c r="W944" s="3"/>
      <c r="X944" s="3"/>
      <c r="Y944" s="3"/>
      <c r="Z944" s="3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3"/>
      <c r="V945" s="3"/>
      <c r="W945" s="3"/>
      <c r="X945" s="3"/>
      <c r="Y945" s="3"/>
      <c r="Z945" s="3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3"/>
      <c r="V946" s="3"/>
      <c r="W946" s="3"/>
      <c r="X946" s="3"/>
      <c r="Y946" s="3"/>
      <c r="Z946" s="3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3"/>
      <c r="V947" s="3"/>
      <c r="W947" s="3"/>
      <c r="X947" s="3"/>
      <c r="Y947" s="3"/>
      <c r="Z947" s="3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3"/>
      <c r="V948" s="3"/>
      <c r="W948" s="3"/>
      <c r="X948" s="3"/>
      <c r="Y948" s="3"/>
      <c r="Z948" s="3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3"/>
      <c r="V949" s="3"/>
      <c r="W949" s="3"/>
      <c r="X949" s="3"/>
      <c r="Y949" s="3"/>
      <c r="Z949" s="3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3"/>
      <c r="V950" s="3"/>
      <c r="W950" s="3"/>
      <c r="X950" s="3"/>
      <c r="Y950" s="3"/>
      <c r="Z950" s="3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3"/>
      <c r="V951" s="3"/>
      <c r="W951" s="3"/>
      <c r="X951" s="3"/>
      <c r="Y951" s="3"/>
      <c r="Z951" s="3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3"/>
      <c r="V952" s="3"/>
      <c r="W952" s="3"/>
      <c r="X952" s="3"/>
      <c r="Y952" s="3"/>
      <c r="Z952" s="3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3"/>
      <c r="V953" s="3"/>
      <c r="W953" s="3"/>
      <c r="X953" s="3"/>
      <c r="Y953" s="3"/>
      <c r="Z953" s="3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3"/>
      <c r="V954" s="3"/>
      <c r="W954" s="3"/>
      <c r="X954" s="3"/>
      <c r="Y954" s="3"/>
      <c r="Z954" s="3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3"/>
      <c r="V955" s="3"/>
      <c r="W955" s="3"/>
      <c r="X955" s="3"/>
      <c r="Y955" s="3"/>
      <c r="Z955" s="3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3"/>
      <c r="V956" s="3"/>
      <c r="W956" s="3"/>
      <c r="X956" s="3"/>
      <c r="Y956" s="3"/>
      <c r="Z956" s="3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3"/>
      <c r="V957" s="3"/>
      <c r="W957" s="3"/>
      <c r="X957" s="3"/>
      <c r="Y957" s="3"/>
      <c r="Z957" s="3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3"/>
      <c r="V958" s="3"/>
      <c r="W958" s="3"/>
      <c r="X958" s="3"/>
      <c r="Y958" s="3"/>
      <c r="Z958" s="3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3"/>
      <c r="V959" s="3"/>
      <c r="W959" s="3"/>
      <c r="X959" s="3"/>
      <c r="Y959" s="3"/>
      <c r="Z959" s="3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3"/>
      <c r="V960" s="3"/>
      <c r="W960" s="3"/>
      <c r="X960" s="3"/>
      <c r="Y960" s="3"/>
      <c r="Z960" s="3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3"/>
      <c r="V961" s="3"/>
      <c r="W961" s="3"/>
      <c r="X961" s="3"/>
      <c r="Y961" s="3"/>
      <c r="Z961" s="3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3"/>
      <c r="V962" s="3"/>
      <c r="W962" s="3"/>
      <c r="X962" s="3"/>
      <c r="Y962" s="3"/>
      <c r="Z962" s="3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3"/>
      <c r="V963" s="3"/>
      <c r="W963" s="3"/>
      <c r="X963" s="3"/>
      <c r="Y963" s="3"/>
      <c r="Z963" s="3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3"/>
      <c r="V964" s="3"/>
      <c r="W964" s="3"/>
      <c r="X964" s="3"/>
      <c r="Y964" s="3"/>
      <c r="Z964" s="3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3"/>
      <c r="V965" s="3"/>
      <c r="W965" s="3"/>
      <c r="X965" s="3"/>
      <c r="Y965" s="3"/>
      <c r="Z965" s="3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3"/>
      <c r="V966" s="3"/>
      <c r="W966" s="3"/>
      <c r="X966" s="3"/>
      <c r="Y966" s="3"/>
      <c r="Z966" s="3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3"/>
      <c r="V967" s="3"/>
      <c r="W967" s="3"/>
      <c r="X967" s="3"/>
      <c r="Y967" s="3"/>
      <c r="Z967" s="3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3"/>
      <c r="V968" s="3"/>
      <c r="W968" s="3"/>
      <c r="X968" s="3"/>
      <c r="Y968" s="3"/>
      <c r="Z968" s="3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3"/>
      <c r="V969" s="3"/>
      <c r="W969" s="3"/>
      <c r="X969" s="3"/>
      <c r="Y969" s="3"/>
      <c r="Z969" s="3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3"/>
      <c r="V970" s="3"/>
      <c r="W970" s="3"/>
      <c r="X970" s="3"/>
      <c r="Y970" s="3"/>
      <c r="Z970" s="3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3"/>
      <c r="V971" s="3"/>
      <c r="W971" s="3"/>
      <c r="X971" s="3"/>
      <c r="Y971" s="3"/>
      <c r="Z971" s="3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3"/>
      <c r="V972" s="3"/>
      <c r="W972" s="3"/>
      <c r="X972" s="3"/>
      <c r="Y972" s="3"/>
      <c r="Z972" s="3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3"/>
      <c r="V973" s="3"/>
      <c r="W973" s="3"/>
      <c r="X973" s="3"/>
      <c r="Y973" s="3"/>
      <c r="Z973" s="3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3"/>
      <c r="V974" s="3"/>
      <c r="W974" s="3"/>
      <c r="X974" s="3"/>
      <c r="Y974" s="3"/>
      <c r="Z974" s="3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3"/>
      <c r="V975" s="3"/>
      <c r="W975" s="3"/>
      <c r="X975" s="3"/>
      <c r="Y975" s="3"/>
      <c r="Z975" s="3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3"/>
      <c r="V976" s="3"/>
      <c r="W976" s="3"/>
      <c r="X976" s="3"/>
      <c r="Y976" s="3"/>
      <c r="Z976" s="3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3"/>
      <c r="V977" s="3"/>
      <c r="W977" s="3"/>
      <c r="X977" s="3"/>
      <c r="Y977" s="3"/>
      <c r="Z977" s="3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3"/>
      <c r="V978" s="3"/>
      <c r="W978" s="3"/>
      <c r="X978" s="3"/>
      <c r="Y978" s="3"/>
      <c r="Z978" s="3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3"/>
      <c r="V979" s="3"/>
      <c r="W979" s="3"/>
      <c r="X979" s="3"/>
      <c r="Y979" s="3"/>
      <c r="Z979" s="3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3"/>
      <c r="V980" s="3"/>
      <c r="W980" s="3"/>
      <c r="X980" s="3"/>
      <c r="Y980" s="3"/>
      <c r="Z980" s="3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3"/>
      <c r="V981" s="3"/>
      <c r="W981" s="3"/>
      <c r="X981" s="3"/>
      <c r="Y981" s="3"/>
      <c r="Z981" s="3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3"/>
      <c r="V982" s="3"/>
      <c r="W982" s="3"/>
      <c r="X982" s="3"/>
      <c r="Y982" s="3"/>
      <c r="Z982" s="3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3"/>
      <c r="V983" s="3"/>
      <c r="W983" s="3"/>
      <c r="X983" s="3"/>
      <c r="Y983" s="3"/>
      <c r="Z983" s="3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3"/>
      <c r="V984" s="3"/>
      <c r="W984" s="3"/>
      <c r="X984" s="3"/>
      <c r="Y984" s="3"/>
      <c r="Z984" s="3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3"/>
      <c r="V985" s="3"/>
      <c r="W985" s="3"/>
      <c r="X985" s="3"/>
      <c r="Y985" s="3"/>
      <c r="Z985" s="3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3"/>
      <c r="V986" s="3"/>
      <c r="W986" s="3"/>
      <c r="X986" s="3"/>
      <c r="Y986" s="3"/>
      <c r="Z986" s="3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3"/>
      <c r="V987" s="3"/>
      <c r="W987" s="3"/>
      <c r="X987" s="3"/>
      <c r="Y987" s="3"/>
      <c r="Z987" s="3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3"/>
      <c r="V988" s="3"/>
      <c r="W988" s="3"/>
      <c r="X988" s="3"/>
      <c r="Y988" s="3"/>
      <c r="Z988" s="3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3"/>
      <c r="V989" s="3"/>
      <c r="W989" s="3"/>
      <c r="X989" s="3"/>
      <c r="Y989" s="3"/>
      <c r="Z989" s="3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3"/>
      <c r="V990" s="3"/>
      <c r="W990" s="3"/>
      <c r="X990" s="3"/>
      <c r="Y990" s="3"/>
      <c r="Z990" s="3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3"/>
      <c r="V991" s="3"/>
      <c r="W991" s="3"/>
      <c r="X991" s="3"/>
      <c r="Y991" s="3"/>
      <c r="Z991" s="3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3"/>
      <c r="V992" s="3"/>
      <c r="W992" s="3"/>
      <c r="X992" s="3"/>
      <c r="Y992" s="3"/>
      <c r="Z992" s="3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3"/>
      <c r="V993" s="3"/>
      <c r="W993" s="3"/>
      <c r="X993" s="3"/>
      <c r="Y993" s="3"/>
      <c r="Z993" s="3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3"/>
      <c r="V994" s="3"/>
      <c r="W994" s="3"/>
      <c r="X994" s="3"/>
      <c r="Y994" s="3"/>
      <c r="Z994" s="3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3"/>
      <c r="V995" s="3"/>
      <c r="W995" s="3"/>
      <c r="X995" s="3"/>
      <c r="Y995" s="3"/>
      <c r="Z995" s="3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3"/>
      <c r="V996" s="3"/>
      <c r="W996" s="3"/>
      <c r="X996" s="3"/>
      <c r="Y996" s="3"/>
      <c r="Z996" s="3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3"/>
      <c r="V997" s="3"/>
      <c r="W997" s="3"/>
      <c r="X997" s="3"/>
      <c r="Y997" s="3"/>
      <c r="Z997" s="3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3"/>
      <c r="V998" s="3"/>
      <c r="W998" s="3"/>
      <c r="X998" s="3"/>
      <c r="Y998" s="3"/>
      <c r="Z998" s="3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3"/>
      <c r="V999" s="3"/>
      <c r="W999" s="3"/>
      <c r="X999" s="3"/>
      <c r="Y999" s="3"/>
      <c r="Z999" s="3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3"/>
      <c r="V1000" s="3"/>
      <c r="W1000" s="3"/>
      <c r="X1000" s="3"/>
      <c r="Y1000" s="3"/>
      <c r="Z1000" s="3"/>
    </row>
  </sheetData>
  <mergeCells count="2">
    <mergeCell ref="F2:J2"/>
    <mergeCell ref="K2:Q2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3" width="21.29"/>
    <col customWidth="1" min="4" max="8" width="9.14"/>
    <col customWidth="1" min="9" max="9" width="14.86"/>
    <col customWidth="1" min="10" max="10" width="17.71"/>
    <col customWidth="1" min="11" max="26" width="9.14"/>
  </cols>
  <sheetData>
    <row r="1">
      <c r="A1" s="94">
        <v>2024.0</v>
      </c>
      <c r="B1" s="95"/>
      <c r="C1" s="95"/>
      <c r="D1" s="96"/>
      <c r="E1" s="96"/>
      <c r="F1" s="96"/>
      <c r="G1" s="96"/>
      <c r="H1" s="97"/>
      <c r="I1" s="98"/>
      <c r="J1" s="98"/>
    </row>
    <row r="2">
      <c r="A2" s="99"/>
      <c r="B2" s="100" t="s">
        <v>45</v>
      </c>
      <c r="C2" s="8"/>
      <c r="H2" s="99"/>
      <c r="I2" s="101" t="s">
        <v>46</v>
      </c>
      <c r="J2" s="8"/>
    </row>
    <row r="3">
      <c r="A3" s="99"/>
      <c r="B3" s="102" t="s">
        <v>47</v>
      </c>
      <c r="C3" s="8"/>
      <c r="H3" s="99"/>
      <c r="I3" s="103" t="s">
        <v>48</v>
      </c>
      <c r="J3" s="8"/>
    </row>
    <row r="4">
      <c r="A4" s="99"/>
      <c r="B4" s="104" t="s">
        <v>49</v>
      </c>
      <c r="C4" s="104" t="s">
        <v>50</v>
      </c>
      <c r="H4" s="99"/>
      <c r="I4" s="104" t="s">
        <v>51</v>
      </c>
      <c r="J4" s="104"/>
    </row>
    <row r="5">
      <c r="A5" s="105" t="s">
        <v>52</v>
      </c>
      <c r="B5" s="99"/>
      <c r="C5" s="99"/>
      <c r="H5" s="105" t="s">
        <v>52</v>
      </c>
      <c r="I5" s="99"/>
      <c r="J5" s="99"/>
    </row>
    <row r="6">
      <c r="A6" s="105" t="s">
        <v>53</v>
      </c>
      <c r="B6" s="99"/>
      <c r="C6" s="99"/>
      <c r="H6" s="105" t="s">
        <v>53</v>
      </c>
      <c r="I6" s="99"/>
      <c r="J6" s="99"/>
    </row>
    <row r="7">
      <c r="A7" s="105" t="s">
        <v>54</v>
      </c>
      <c r="B7" s="99"/>
      <c r="C7" s="99"/>
      <c r="H7" s="105" t="s">
        <v>54</v>
      </c>
      <c r="I7" s="99"/>
      <c r="J7" s="99"/>
    </row>
    <row r="8">
      <c r="A8" s="105" t="s">
        <v>55</v>
      </c>
      <c r="B8" s="106">
        <v>73984.0</v>
      </c>
      <c r="C8" s="107">
        <v>226307.0</v>
      </c>
      <c r="H8" s="105" t="s">
        <v>55</v>
      </c>
      <c r="I8" s="106"/>
      <c r="J8" s="107"/>
    </row>
    <row r="9">
      <c r="A9" s="105" t="s">
        <v>56</v>
      </c>
      <c r="B9" s="99"/>
      <c r="C9" s="99"/>
      <c r="H9" s="105" t="s">
        <v>56</v>
      </c>
      <c r="I9" s="99"/>
      <c r="J9" s="99"/>
    </row>
    <row r="10">
      <c r="A10" s="105" t="s">
        <v>57</v>
      </c>
      <c r="B10" s="99"/>
      <c r="C10" s="99"/>
      <c r="H10" s="105" t="s">
        <v>57</v>
      </c>
      <c r="I10" s="99"/>
      <c r="J10" s="99"/>
    </row>
    <row r="11">
      <c r="A11" s="105" t="s">
        <v>58</v>
      </c>
      <c r="B11" s="99"/>
      <c r="C11" s="99"/>
      <c r="H11" s="105" t="s">
        <v>58</v>
      </c>
      <c r="I11" s="99"/>
      <c r="J11" s="99"/>
    </row>
    <row r="12">
      <c r="A12" s="105" t="s">
        <v>59</v>
      </c>
      <c r="B12" s="99"/>
      <c r="C12" s="99"/>
      <c r="H12" s="105" t="s">
        <v>59</v>
      </c>
      <c r="I12" s="99"/>
      <c r="J12" s="99"/>
    </row>
    <row r="13">
      <c r="A13" s="105" t="s">
        <v>60</v>
      </c>
      <c r="B13" s="99"/>
      <c r="C13" s="99"/>
      <c r="H13" s="105" t="s">
        <v>60</v>
      </c>
      <c r="I13" s="99"/>
      <c r="J13" s="99"/>
    </row>
    <row r="14">
      <c r="A14" s="105" t="s">
        <v>61</v>
      </c>
      <c r="B14" s="99"/>
      <c r="C14" s="99"/>
      <c r="H14" s="105" t="s">
        <v>61</v>
      </c>
      <c r="I14" s="99"/>
      <c r="J14" s="99"/>
    </row>
    <row r="15">
      <c r="A15" s="105" t="s">
        <v>62</v>
      </c>
      <c r="B15" s="99"/>
      <c r="C15" s="99"/>
      <c r="H15" s="105" t="s">
        <v>62</v>
      </c>
      <c r="I15" s="99"/>
      <c r="J15" s="99"/>
    </row>
    <row r="16">
      <c r="A16" s="105" t="s">
        <v>63</v>
      </c>
      <c r="B16" s="99"/>
      <c r="C16" s="99"/>
      <c r="H16" s="105" t="s">
        <v>63</v>
      </c>
      <c r="I16" s="108">
        <v>61722.0</v>
      </c>
      <c r="J16" s="99"/>
    </row>
    <row r="17">
      <c r="A17" s="109" t="s">
        <v>10</v>
      </c>
      <c r="B17" s="110">
        <f>SUM(B5:C16)</f>
        <v>300291</v>
      </c>
      <c r="H17" s="109" t="s">
        <v>10</v>
      </c>
      <c r="I17" s="110">
        <f>SUM(I5:J16)</f>
        <v>61722</v>
      </c>
    </row>
    <row r="19">
      <c r="A19" s="111" t="s">
        <v>64</v>
      </c>
      <c r="H19" s="111" t="s">
        <v>64</v>
      </c>
    </row>
    <row r="22" ht="15.75" customHeight="1">
      <c r="A22" s="94">
        <v>2025.0</v>
      </c>
      <c r="B22" s="95"/>
      <c r="C22" s="95"/>
      <c r="D22" s="96"/>
      <c r="E22" s="96"/>
      <c r="F22" s="96"/>
      <c r="G22" s="96"/>
      <c r="H22" s="97"/>
      <c r="I22" s="98"/>
      <c r="J22" s="98"/>
    </row>
    <row r="23" ht="15.75" customHeight="1">
      <c r="A23" s="99"/>
      <c r="B23" s="112" t="s">
        <v>46</v>
      </c>
      <c r="C23" s="8"/>
    </row>
    <row r="24" ht="15.75" customHeight="1">
      <c r="A24" s="99"/>
      <c r="B24" s="103" t="s">
        <v>48</v>
      </c>
      <c r="C24" s="8"/>
    </row>
    <row r="25" ht="15.75" customHeight="1">
      <c r="A25" s="99"/>
      <c r="B25" s="104" t="s">
        <v>65</v>
      </c>
      <c r="C25" s="104" t="s">
        <v>66</v>
      </c>
    </row>
    <row r="26" ht="15.75" customHeight="1">
      <c r="A26" s="105" t="s">
        <v>52</v>
      </c>
      <c r="B26" s="99"/>
      <c r="C26" s="99"/>
    </row>
    <row r="27" ht="15.75" customHeight="1">
      <c r="A27" s="105" t="s">
        <v>53</v>
      </c>
      <c r="B27" s="108">
        <v>289000.0</v>
      </c>
      <c r="C27" s="108">
        <v>689030.0</v>
      </c>
    </row>
    <row r="28" ht="15.75" customHeight="1">
      <c r="A28" s="105" t="s">
        <v>54</v>
      </c>
      <c r="B28" s="99"/>
      <c r="C28" s="99"/>
    </row>
    <row r="29" ht="15.75" customHeight="1">
      <c r="A29" s="105" t="s">
        <v>55</v>
      </c>
      <c r="B29" s="106"/>
      <c r="C29" s="107"/>
    </row>
    <row r="30" ht="15.75" customHeight="1">
      <c r="A30" s="105" t="s">
        <v>56</v>
      </c>
      <c r="B30" s="99"/>
      <c r="C30" s="99"/>
    </row>
    <row r="31" ht="15.75" customHeight="1">
      <c r="A31" s="105" t="s">
        <v>57</v>
      </c>
      <c r="B31" s="99"/>
      <c r="C31" s="99"/>
    </row>
    <row r="32" ht="15.75" customHeight="1">
      <c r="A32" s="105" t="s">
        <v>58</v>
      </c>
      <c r="B32" s="99"/>
      <c r="C32" s="99"/>
    </row>
    <row r="33" ht="15.75" customHeight="1">
      <c r="A33" s="105" t="s">
        <v>59</v>
      </c>
      <c r="B33" s="99"/>
      <c r="C33" s="99"/>
    </row>
    <row r="34" ht="15.75" customHeight="1">
      <c r="A34" s="105" t="s">
        <v>60</v>
      </c>
      <c r="B34" s="99"/>
      <c r="C34" s="99"/>
    </row>
    <row r="35" ht="15.75" customHeight="1">
      <c r="A35" s="105" t="s">
        <v>61</v>
      </c>
      <c r="B35" s="99"/>
      <c r="C35" s="99"/>
    </row>
    <row r="36" ht="15.75" customHeight="1">
      <c r="A36" s="105" t="s">
        <v>62</v>
      </c>
      <c r="B36" s="99"/>
      <c r="C36" s="99"/>
    </row>
    <row r="37" ht="15.75" customHeight="1">
      <c r="A37" s="105" t="s">
        <v>63</v>
      </c>
      <c r="B37" s="99"/>
      <c r="C37" s="99"/>
    </row>
    <row r="38" ht="15.75" customHeight="1">
      <c r="A38" s="109" t="s">
        <v>10</v>
      </c>
      <c r="B38" s="110">
        <f>SUM(B26:C37)</f>
        <v>978030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6">
    <mergeCell ref="B2:C2"/>
    <mergeCell ref="I2:J2"/>
    <mergeCell ref="B3:C3"/>
    <mergeCell ref="I3:J3"/>
    <mergeCell ref="B23:C23"/>
    <mergeCell ref="B24:C2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2" width="18.86"/>
    <col customWidth="1" min="3" max="6" width="22.0"/>
    <col customWidth="1" min="7" max="25" width="18.86"/>
    <col customWidth="1" min="26" max="28" width="19.14"/>
    <col customWidth="1" min="29" max="29" width="22.14"/>
  </cols>
  <sheetData>
    <row r="1">
      <c r="A1" s="113"/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</row>
    <row r="2" ht="123.0" customHeight="1">
      <c r="A2" s="114"/>
      <c r="B2" s="114"/>
      <c r="C2" s="115" t="s">
        <v>67</v>
      </c>
      <c r="D2" s="115" t="s">
        <v>67</v>
      </c>
      <c r="E2" s="115" t="s">
        <v>67</v>
      </c>
      <c r="F2" s="115" t="s">
        <v>67</v>
      </c>
      <c r="G2" s="116" t="s">
        <v>68</v>
      </c>
      <c r="H2" s="10"/>
      <c r="I2" s="10"/>
      <c r="J2" s="10"/>
      <c r="K2" s="11"/>
      <c r="L2" s="115" t="s">
        <v>69</v>
      </c>
      <c r="M2" s="116" t="s">
        <v>70</v>
      </c>
      <c r="N2" s="10"/>
      <c r="O2" s="10"/>
      <c r="P2" s="10"/>
      <c r="Q2" s="11"/>
      <c r="R2" s="117" t="s">
        <v>71</v>
      </c>
      <c r="S2" s="10"/>
      <c r="T2" s="11"/>
      <c r="U2" s="118" t="s">
        <v>6</v>
      </c>
      <c r="V2" s="118" t="s">
        <v>8</v>
      </c>
      <c r="W2" s="118" t="s">
        <v>9</v>
      </c>
      <c r="X2" s="119" t="s">
        <v>72</v>
      </c>
      <c r="Y2" s="120" t="s">
        <v>73</v>
      </c>
      <c r="Z2" s="120" t="s">
        <v>74</v>
      </c>
      <c r="AA2" s="120" t="s">
        <v>75</v>
      </c>
      <c r="AB2" s="120" t="s">
        <v>76</v>
      </c>
      <c r="AC2" s="15" t="s">
        <v>10</v>
      </c>
    </row>
    <row r="3">
      <c r="A3" s="26" t="s">
        <v>28</v>
      </c>
      <c r="B3" s="26" t="s">
        <v>29</v>
      </c>
      <c r="C3" s="121" t="s">
        <v>77</v>
      </c>
      <c r="D3" s="122" t="s">
        <v>78</v>
      </c>
      <c r="E3" s="122" t="s">
        <v>79</v>
      </c>
      <c r="F3" s="122" t="s">
        <v>80</v>
      </c>
      <c r="G3" s="123" t="s">
        <v>81</v>
      </c>
      <c r="H3" s="124" t="s">
        <v>82</v>
      </c>
      <c r="I3" s="124" t="s">
        <v>34</v>
      </c>
      <c r="J3" s="124" t="s">
        <v>33</v>
      </c>
      <c r="K3" s="125" t="s">
        <v>83</v>
      </c>
      <c r="L3" s="121" t="s">
        <v>84</v>
      </c>
      <c r="M3" s="126" t="s">
        <v>85</v>
      </c>
      <c r="N3" s="126" t="s">
        <v>86</v>
      </c>
      <c r="O3" s="126" t="s">
        <v>87</v>
      </c>
      <c r="P3" s="126" t="s">
        <v>88</v>
      </c>
      <c r="Q3" s="126" t="s">
        <v>89</v>
      </c>
      <c r="R3" s="127" t="s">
        <v>90</v>
      </c>
      <c r="S3" s="127" t="s">
        <v>91</v>
      </c>
      <c r="T3" s="128" t="s">
        <v>92</v>
      </c>
      <c r="U3" s="121" t="s">
        <v>24</v>
      </c>
      <c r="V3" s="121" t="s">
        <v>26</v>
      </c>
      <c r="W3" s="122" t="s">
        <v>93</v>
      </c>
      <c r="X3" s="122" t="s">
        <v>94</v>
      </c>
      <c r="Y3" s="122" t="s">
        <v>95</v>
      </c>
      <c r="Z3" s="122" t="s">
        <v>96</v>
      </c>
      <c r="AA3" s="121" t="s">
        <v>97</v>
      </c>
      <c r="AB3" s="121" t="s">
        <v>98</v>
      </c>
      <c r="AC3" s="15"/>
    </row>
    <row r="4">
      <c r="A4" s="40" t="s">
        <v>99</v>
      </c>
      <c r="B4" s="41" t="s">
        <v>43</v>
      </c>
      <c r="C4" s="129">
        <v>2636429.5</v>
      </c>
      <c r="D4" s="129"/>
      <c r="E4" s="129"/>
      <c r="F4" s="129"/>
      <c r="G4" s="130"/>
      <c r="H4" s="130"/>
      <c r="I4" s="130"/>
      <c r="J4" s="131"/>
      <c r="K4" s="132">
        <v>608968.65</v>
      </c>
      <c r="L4" s="132">
        <v>352701.13</v>
      </c>
      <c r="M4" s="130"/>
      <c r="N4" s="130"/>
      <c r="O4" s="130"/>
      <c r="P4" s="130"/>
      <c r="Q4" s="132">
        <v>96450.0</v>
      </c>
      <c r="R4" s="130"/>
      <c r="S4" s="130"/>
      <c r="T4" s="132">
        <v>228000.0</v>
      </c>
      <c r="U4" s="132">
        <v>2290264.0</v>
      </c>
      <c r="V4" s="132">
        <v>6000.0</v>
      </c>
      <c r="W4" s="133">
        <v>345296.52</v>
      </c>
      <c r="X4" s="134">
        <v>0.0</v>
      </c>
      <c r="Y4" s="135">
        <v>0.0</v>
      </c>
      <c r="Z4" s="136">
        <v>0.0</v>
      </c>
      <c r="AA4" s="136"/>
      <c r="AB4" s="136">
        <v>2650000.0</v>
      </c>
      <c r="AC4" s="15"/>
    </row>
    <row r="5">
      <c r="A5" s="40"/>
      <c r="B5" s="54" t="s">
        <v>44</v>
      </c>
      <c r="C5" s="137">
        <v>2636429.5</v>
      </c>
      <c r="D5" s="137"/>
      <c r="E5" s="137"/>
      <c r="F5" s="137"/>
      <c r="G5" s="138">
        <v>299043.0</v>
      </c>
      <c r="H5" s="138">
        <v>136837.88</v>
      </c>
      <c r="I5" s="138">
        <v>139337.77</v>
      </c>
      <c r="J5" s="138">
        <v>33750.0</v>
      </c>
      <c r="K5" s="138">
        <v>608968.65</v>
      </c>
      <c r="L5" s="138">
        <v>352701.13</v>
      </c>
      <c r="M5" s="138">
        <v>13950.0</v>
      </c>
      <c r="N5" s="138">
        <v>82500.0</v>
      </c>
      <c r="O5" s="138">
        <v>0.0</v>
      </c>
      <c r="P5" s="138">
        <v>0.0</v>
      </c>
      <c r="Q5" s="138">
        <f>SUM(M5:P5)</f>
        <v>96450</v>
      </c>
      <c r="R5" s="138" t="s">
        <v>100</v>
      </c>
      <c r="S5" s="138">
        <v>36000.0</v>
      </c>
      <c r="T5" s="138">
        <v>228000.0</v>
      </c>
      <c r="U5" s="138">
        <v>2290264.0</v>
      </c>
      <c r="V5" s="138">
        <v>6000.0</v>
      </c>
      <c r="W5" s="139"/>
      <c r="X5" s="140"/>
      <c r="Y5" s="140"/>
      <c r="Z5" s="137"/>
      <c r="AA5" s="137"/>
      <c r="AB5" s="137"/>
      <c r="AC5" s="15"/>
    </row>
    <row r="6">
      <c r="A6" s="40" t="s">
        <v>101</v>
      </c>
      <c r="B6" s="41" t="s">
        <v>43</v>
      </c>
      <c r="C6" s="132">
        <v>2564316.0</v>
      </c>
      <c r="D6" s="132"/>
      <c r="E6" s="132"/>
      <c r="F6" s="132"/>
      <c r="G6" s="141"/>
      <c r="H6" s="142"/>
      <c r="I6" s="130"/>
      <c r="J6" s="131"/>
      <c r="K6" s="143">
        <v>597267.15</v>
      </c>
      <c r="L6" s="132">
        <v>352701.13</v>
      </c>
      <c r="M6" s="130"/>
      <c r="N6" s="130"/>
      <c r="O6" s="141"/>
      <c r="P6" s="130"/>
      <c r="Q6" s="132">
        <v>109656.0</v>
      </c>
      <c r="R6" s="130"/>
      <c r="S6" s="130"/>
      <c r="T6" s="132">
        <v>228000.0</v>
      </c>
      <c r="U6" s="132">
        <v>2242256.0</v>
      </c>
      <c r="V6" s="132">
        <v>6000.0</v>
      </c>
      <c r="W6" s="133">
        <v>345296.52</v>
      </c>
      <c r="X6" s="134">
        <v>0.0</v>
      </c>
      <c r="Y6" s="135">
        <v>0.0</v>
      </c>
      <c r="Z6" s="136">
        <v>0.0</v>
      </c>
      <c r="AA6" s="136"/>
      <c r="AB6" s="136"/>
      <c r="AC6" s="15"/>
    </row>
    <row r="7">
      <c r="A7" s="40"/>
      <c r="B7" s="54" t="s">
        <v>44</v>
      </c>
      <c r="C7" s="138">
        <v>2564316.0</v>
      </c>
      <c r="D7" s="138"/>
      <c r="E7" s="138"/>
      <c r="F7" s="138"/>
      <c r="G7" s="144">
        <v>291015.0</v>
      </c>
      <c r="H7" s="145">
        <v>133164.38</v>
      </c>
      <c r="I7" s="138">
        <v>139337.77</v>
      </c>
      <c r="J7" s="146">
        <v>33750.0</v>
      </c>
      <c r="K7" s="147">
        <v>597267.15</v>
      </c>
      <c r="L7" s="138">
        <v>352701.13</v>
      </c>
      <c r="M7" s="138">
        <v>18600.0</v>
      </c>
      <c r="N7" s="138">
        <v>82500.0</v>
      </c>
      <c r="O7" s="137">
        <v>0.0</v>
      </c>
      <c r="P7" s="138">
        <v>8556.0</v>
      </c>
      <c r="Q7" s="138">
        <f>SUM(M7:P7)</f>
        <v>109656</v>
      </c>
      <c r="R7" s="138">
        <v>192000.0</v>
      </c>
      <c r="S7" s="138">
        <v>36000.0</v>
      </c>
      <c r="T7" s="138">
        <v>228000.0</v>
      </c>
      <c r="U7" s="138">
        <v>2242256.0</v>
      </c>
      <c r="V7" s="138">
        <v>6000.0</v>
      </c>
      <c r="W7" s="139"/>
      <c r="X7" s="140"/>
      <c r="Y7" s="140"/>
      <c r="Z7" s="137"/>
      <c r="AA7" s="137"/>
      <c r="AB7" s="137"/>
      <c r="AC7" s="15"/>
    </row>
    <row r="8">
      <c r="A8" s="40" t="s">
        <v>102</v>
      </c>
      <c r="B8" s="41" t="s">
        <v>43</v>
      </c>
      <c r="C8" s="134">
        <v>2577929.5</v>
      </c>
      <c r="D8" s="134"/>
      <c r="E8" s="134"/>
      <c r="F8" s="134"/>
      <c r="G8" s="148"/>
      <c r="H8" s="149"/>
      <c r="I8" s="130"/>
      <c r="J8" s="131"/>
      <c r="K8" s="133">
        <v>603117.9</v>
      </c>
      <c r="L8" s="133">
        <v>352701.13</v>
      </c>
      <c r="M8" s="148"/>
      <c r="N8" s="148"/>
      <c r="O8" s="148"/>
      <c r="P8" s="148"/>
      <c r="Q8" s="132">
        <v>109656.0</v>
      </c>
      <c r="R8" s="130"/>
      <c r="S8" s="130"/>
      <c r="T8" s="132">
        <v>228000.0</v>
      </c>
      <c r="U8" s="133">
        <v>2242256.0</v>
      </c>
      <c r="V8" s="132">
        <v>6000.0</v>
      </c>
      <c r="W8" s="133">
        <v>345296.52</v>
      </c>
      <c r="X8" s="134">
        <v>0.0</v>
      </c>
      <c r="Y8" s="134">
        <v>0.0</v>
      </c>
      <c r="Z8" s="136">
        <v>0.0</v>
      </c>
      <c r="AA8" s="136">
        <v>422121.0</v>
      </c>
      <c r="AB8" s="136"/>
      <c r="AC8" s="15"/>
    </row>
    <row r="9">
      <c r="A9" s="40"/>
      <c r="B9" s="54" t="s">
        <v>44</v>
      </c>
      <c r="C9" s="150">
        <v>2577929.5</v>
      </c>
      <c r="D9" s="150"/>
      <c r="E9" s="150"/>
      <c r="F9" s="150"/>
      <c r="G9" s="151">
        <v>295029.0</v>
      </c>
      <c r="H9" s="152">
        <v>135001.13</v>
      </c>
      <c r="I9" s="153">
        <v>139337.77</v>
      </c>
      <c r="J9" s="154">
        <v>33750.0</v>
      </c>
      <c r="K9" s="151">
        <v>603117.9</v>
      </c>
      <c r="L9" s="138">
        <v>352701.13</v>
      </c>
      <c r="M9" s="155">
        <v>18600.0</v>
      </c>
      <c r="N9" s="139">
        <v>82500.0</v>
      </c>
      <c r="O9" s="139">
        <v>0.0</v>
      </c>
      <c r="P9" s="139">
        <v>8556.0</v>
      </c>
      <c r="Q9" s="139">
        <f>SUM(M9:P9)</f>
        <v>109656</v>
      </c>
      <c r="R9" s="139">
        <v>192000.0</v>
      </c>
      <c r="S9" s="139">
        <v>36000.0</v>
      </c>
      <c r="T9" s="139">
        <v>228000.0</v>
      </c>
      <c r="U9" s="139">
        <v>2242256.0</v>
      </c>
      <c r="V9" s="139">
        <v>6000.0</v>
      </c>
      <c r="W9" s="139"/>
      <c r="X9" s="140"/>
      <c r="Y9" s="140"/>
      <c r="Z9" s="137"/>
      <c r="AA9" s="137"/>
      <c r="AB9" s="137"/>
      <c r="AC9" s="15"/>
    </row>
    <row r="10">
      <c r="A10" s="40" t="s">
        <v>103</v>
      </c>
      <c r="B10" s="41" t="s">
        <v>43</v>
      </c>
      <c r="C10" s="133">
        <v>2551929.5</v>
      </c>
      <c r="D10" s="133"/>
      <c r="E10" s="133"/>
      <c r="F10" s="133"/>
      <c r="G10" s="148"/>
      <c r="H10" s="148"/>
      <c r="I10" s="148"/>
      <c r="J10" s="148"/>
      <c r="K10" s="133">
        <v>603117.9</v>
      </c>
      <c r="L10" s="133">
        <v>352701.13</v>
      </c>
      <c r="M10" s="148"/>
      <c r="N10" s="148"/>
      <c r="O10" s="148"/>
      <c r="P10" s="148"/>
      <c r="Q10" s="133">
        <v>109656.0</v>
      </c>
      <c r="R10" s="148"/>
      <c r="S10" s="148"/>
      <c r="T10" s="133">
        <v>228000.0</v>
      </c>
      <c r="U10" s="133">
        <v>2230960.0</v>
      </c>
      <c r="V10" s="132">
        <v>6000.0</v>
      </c>
      <c r="W10" s="156">
        <v>345296.52</v>
      </c>
      <c r="X10" s="134">
        <v>0.0</v>
      </c>
      <c r="Y10" s="157">
        <v>0.0</v>
      </c>
      <c r="Z10" s="136">
        <v>0.0</v>
      </c>
      <c r="AA10" s="136"/>
      <c r="AB10" s="136"/>
      <c r="AC10" s="15"/>
    </row>
    <row r="11">
      <c r="A11" s="40"/>
      <c r="B11" s="54" t="s">
        <v>44</v>
      </c>
      <c r="C11" s="158">
        <v>2551929.5</v>
      </c>
      <c r="D11" s="158"/>
      <c r="E11" s="158"/>
      <c r="F11" s="158"/>
      <c r="G11" s="158">
        <v>295029.0</v>
      </c>
      <c r="H11" s="158">
        <v>135001.13</v>
      </c>
      <c r="I11" s="158">
        <v>139337.77</v>
      </c>
      <c r="J11" s="158">
        <v>33750.0</v>
      </c>
      <c r="K11" s="151">
        <v>603117.9</v>
      </c>
      <c r="L11" s="158">
        <v>352701.13</v>
      </c>
      <c r="M11" s="158">
        <v>18600.0</v>
      </c>
      <c r="N11" s="139">
        <v>82500.0</v>
      </c>
      <c r="O11" s="158">
        <v>0.0</v>
      </c>
      <c r="P11" s="158">
        <v>8556.0</v>
      </c>
      <c r="Q11" s="158">
        <f>SUM(M11:P11)</f>
        <v>109656</v>
      </c>
      <c r="R11" s="158">
        <v>192000.0</v>
      </c>
      <c r="S11" s="158">
        <v>36000.0</v>
      </c>
      <c r="T11" s="158">
        <v>228000.0</v>
      </c>
      <c r="U11" s="158">
        <v>2230960.0</v>
      </c>
      <c r="V11" s="158">
        <v>6000.0</v>
      </c>
      <c r="W11" s="139"/>
      <c r="X11" s="140"/>
      <c r="Y11" s="140"/>
      <c r="Z11" s="137"/>
      <c r="AA11" s="137"/>
      <c r="AB11" s="137"/>
      <c r="AC11" s="15"/>
    </row>
    <row r="12">
      <c r="A12" s="159" t="s">
        <v>104</v>
      </c>
      <c r="B12" s="41" t="s">
        <v>43</v>
      </c>
      <c r="C12" s="160">
        <v>2572656.5</v>
      </c>
      <c r="D12" s="160"/>
      <c r="E12" s="160"/>
      <c r="F12" s="160"/>
      <c r="G12" s="148"/>
      <c r="H12" s="148"/>
      <c r="I12" s="148"/>
      <c r="J12" s="148"/>
      <c r="K12" s="160">
        <v>608968.65</v>
      </c>
      <c r="L12" s="160">
        <v>352701.13</v>
      </c>
      <c r="M12" s="148"/>
      <c r="N12" s="148"/>
      <c r="O12" s="148"/>
      <c r="P12" s="148"/>
      <c r="Q12" s="160">
        <v>108106.0</v>
      </c>
      <c r="R12" s="148"/>
      <c r="S12" s="148"/>
      <c r="T12" s="133">
        <v>228000.0</v>
      </c>
      <c r="U12" s="160">
        <v>2228136.0</v>
      </c>
      <c r="V12" s="132">
        <v>6000.0</v>
      </c>
      <c r="W12" s="161">
        <v>345296.52</v>
      </c>
      <c r="X12" s="162">
        <v>0.0</v>
      </c>
      <c r="Y12" s="162">
        <v>0.0</v>
      </c>
      <c r="Z12" s="163">
        <v>0.0</v>
      </c>
      <c r="AA12" s="163">
        <v>0.0</v>
      </c>
      <c r="AB12" s="136"/>
      <c r="AC12" s="15"/>
    </row>
    <row r="13">
      <c r="A13" s="159"/>
      <c r="B13" s="54" t="s">
        <v>44</v>
      </c>
      <c r="C13" s="164">
        <v>2572656.5</v>
      </c>
      <c r="D13" s="164"/>
      <c r="E13" s="164"/>
      <c r="F13" s="164"/>
      <c r="G13" s="158">
        <v>299043.0</v>
      </c>
      <c r="H13" s="165">
        <v>136837.88</v>
      </c>
      <c r="I13" s="158">
        <v>139337.77</v>
      </c>
      <c r="J13" s="158">
        <v>33750.0</v>
      </c>
      <c r="K13" s="151">
        <f>G13+H13+I13+J13</f>
        <v>608968.65</v>
      </c>
      <c r="L13" s="158">
        <v>352701.13</v>
      </c>
      <c r="M13" s="164">
        <v>17050.0</v>
      </c>
      <c r="N13" s="165">
        <v>82500.0</v>
      </c>
      <c r="O13" s="165">
        <v>0.0</v>
      </c>
      <c r="P13" s="165">
        <v>8556.0</v>
      </c>
      <c r="Q13" s="139">
        <f>M13+N13+O13+P13</f>
        <v>108106</v>
      </c>
      <c r="R13" s="158">
        <v>192000.0</v>
      </c>
      <c r="S13" s="158">
        <v>36000.0</v>
      </c>
      <c r="T13" s="158">
        <f>R13+S13</f>
        <v>228000</v>
      </c>
      <c r="U13" s="166">
        <v>2228136.0</v>
      </c>
      <c r="V13" s="158">
        <v>6000.0</v>
      </c>
      <c r="W13" s="139"/>
      <c r="X13" s="140"/>
      <c r="Y13" s="144"/>
      <c r="Z13" s="137"/>
      <c r="AA13" s="137"/>
      <c r="AB13" s="137"/>
      <c r="AC13" s="15"/>
    </row>
    <row r="14">
      <c r="A14" s="159" t="s">
        <v>105</v>
      </c>
      <c r="B14" s="41" t="s">
        <v>43</v>
      </c>
      <c r="C14" s="160">
        <v>2495270.0</v>
      </c>
      <c r="D14" s="160"/>
      <c r="E14" s="160"/>
      <c r="F14" s="160"/>
      <c r="G14" s="148"/>
      <c r="H14" s="148"/>
      <c r="I14" s="148"/>
      <c r="J14" s="148"/>
      <c r="K14" s="160">
        <v>620670.15</v>
      </c>
      <c r="L14" s="160">
        <v>352701.13</v>
      </c>
      <c r="M14" s="148"/>
      <c r="N14" s="148"/>
      <c r="O14" s="148"/>
      <c r="P14" s="148"/>
      <c r="Q14" s="160">
        <v>108106.0</v>
      </c>
      <c r="R14" s="148"/>
      <c r="S14" s="148"/>
      <c r="T14" s="160">
        <v>228000.0</v>
      </c>
      <c r="U14" s="167">
        <f>2228136+2228136        </f>
        <v>4456272</v>
      </c>
      <c r="V14" s="132">
        <v>6000.0</v>
      </c>
      <c r="W14" s="161">
        <v>345296.52</v>
      </c>
      <c r="X14" s="162">
        <v>0.0</v>
      </c>
      <c r="Y14" s="162">
        <v>0.0</v>
      </c>
      <c r="Z14" s="163">
        <v>0.0</v>
      </c>
      <c r="AA14" s="163">
        <v>0.0</v>
      </c>
      <c r="AB14" s="163">
        <v>0.0</v>
      </c>
      <c r="AC14" s="15"/>
    </row>
    <row r="15">
      <c r="A15" s="159"/>
      <c r="B15" s="54" t="s">
        <v>44</v>
      </c>
      <c r="C15" s="165">
        <v>2495270.0</v>
      </c>
      <c r="D15" s="165"/>
      <c r="E15" s="165"/>
      <c r="F15" s="165"/>
      <c r="G15" s="168">
        <v>307071.0</v>
      </c>
      <c r="H15" s="168">
        <v>140511.38</v>
      </c>
      <c r="I15" s="168">
        <v>139337.77</v>
      </c>
      <c r="J15" s="168">
        <v>33750.0</v>
      </c>
      <c r="K15" s="139">
        <f>SUM(G15:J15)</f>
        <v>620670.15</v>
      </c>
      <c r="L15" s="165">
        <v>352701.13</v>
      </c>
      <c r="M15" s="165">
        <v>18600.0</v>
      </c>
      <c r="N15" s="169">
        <v>81000.0</v>
      </c>
      <c r="O15" s="165">
        <v>0.0</v>
      </c>
      <c r="P15" s="165">
        <v>8556.0</v>
      </c>
      <c r="Q15" s="139">
        <f>M15+N15+O15+P15</f>
        <v>108156</v>
      </c>
      <c r="R15" s="165">
        <v>192000.0</v>
      </c>
      <c r="S15" s="165">
        <v>36000.0</v>
      </c>
      <c r="T15" s="158">
        <f>R15+S15</f>
        <v>228000</v>
      </c>
      <c r="U15" s="165">
        <v>2228136.0</v>
      </c>
      <c r="V15" s="165">
        <v>6000.0</v>
      </c>
      <c r="W15" s="139"/>
      <c r="X15" s="140"/>
      <c r="Y15" s="140"/>
      <c r="Z15" s="137"/>
      <c r="AA15" s="137"/>
      <c r="AB15" s="137"/>
      <c r="AC15" s="15"/>
    </row>
    <row r="16">
      <c r="A16" s="159" t="s">
        <v>106</v>
      </c>
      <c r="B16" s="41" t="s">
        <v>43</v>
      </c>
      <c r="C16" s="160">
        <v>2462770.0</v>
      </c>
      <c r="D16" s="160"/>
      <c r="E16" s="160"/>
      <c r="F16" s="160"/>
      <c r="G16" s="148"/>
      <c r="H16" s="148"/>
      <c r="I16" s="148"/>
      <c r="J16" s="148"/>
      <c r="K16" s="170">
        <v>568013.4</v>
      </c>
      <c r="L16" s="160">
        <v>352701.13</v>
      </c>
      <c r="M16" s="148"/>
      <c r="N16" s="148"/>
      <c r="O16" s="148"/>
      <c r="P16" s="148"/>
      <c r="Q16" s="160">
        <v>103656.0</v>
      </c>
      <c r="R16" s="148"/>
      <c r="S16" s="148"/>
      <c r="T16" s="160">
        <v>199500.0</v>
      </c>
      <c r="U16" s="160">
        <v>2182952.0</v>
      </c>
      <c r="V16" s="160">
        <v>6000.0</v>
      </c>
      <c r="W16" s="161">
        <v>391789.18</v>
      </c>
      <c r="X16" s="134"/>
      <c r="Y16" s="134"/>
      <c r="Z16" s="136"/>
      <c r="AA16" s="136"/>
      <c r="AB16" s="136"/>
      <c r="AC16" s="15"/>
    </row>
    <row r="17">
      <c r="A17" s="159"/>
      <c r="B17" s="54" t="s">
        <v>44</v>
      </c>
      <c r="C17" s="171">
        <v>2710500.0</v>
      </c>
      <c r="D17" s="171"/>
      <c r="E17" s="171"/>
      <c r="F17" s="171"/>
      <c r="G17" s="165" t="s">
        <v>107</v>
      </c>
      <c r="H17" s="165" t="s">
        <v>108</v>
      </c>
      <c r="I17" s="165" t="s">
        <v>109</v>
      </c>
      <c r="J17" s="165" t="s">
        <v>110</v>
      </c>
      <c r="K17" s="165">
        <v>568013.4</v>
      </c>
      <c r="L17" s="165">
        <v>352701.13</v>
      </c>
      <c r="M17" s="165">
        <v>18600.0</v>
      </c>
      <c r="N17" s="165">
        <v>76500.0</v>
      </c>
      <c r="O17" s="165">
        <v>0.0</v>
      </c>
      <c r="P17" s="165">
        <v>8556.0</v>
      </c>
      <c r="Q17" s="139">
        <f>SUM(M17:P17)</f>
        <v>103656</v>
      </c>
      <c r="R17" s="165">
        <v>168000.0</v>
      </c>
      <c r="S17" s="165">
        <v>31500.0</v>
      </c>
      <c r="T17" s="139">
        <f>SUM(R17:S17)</f>
        <v>199500</v>
      </c>
      <c r="U17" s="165">
        <v>2182952.0</v>
      </c>
      <c r="V17" s="165">
        <v>6000.0</v>
      </c>
      <c r="W17" s="139"/>
      <c r="X17" s="140"/>
      <c r="Y17" s="140"/>
      <c r="Z17" s="137"/>
      <c r="AA17" s="137"/>
      <c r="AB17" s="137"/>
      <c r="AC17" s="15"/>
    </row>
    <row r="18">
      <c r="A18" s="159" t="s">
        <v>111</v>
      </c>
      <c r="B18" s="41" t="s">
        <v>43</v>
      </c>
      <c r="C18" s="171">
        <v>2704497.0</v>
      </c>
      <c r="D18" s="172">
        <v>135230.72</v>
      </c>
      <c r="E18" s="172">
        <v>34875.0</v>
      </c>
      <c r="F18" s="172">
        <v>646125.0</v>
      </c>
      <c r="G18" s="148"/>
      <c r="H18" s="148"/>
      <c r="I18" s="148"/>
      <c r="J18" s="148"/>
      <c r="K18" s="160">
        <v>608968.65</v>
      </c>
      <c r="L18" s="160">
        <v>352701.13</v>
      </c>
      <c r="M18" s="148"/>
      <c r="N18" s="148"/>
      <c r="O18" s="148"/>
      <c r="P18" s="148"/>
      <c r="Q18" s="133">
        <v>205840.8</v>
      </c>
      <c r="R18" s="148"/>
      <c r="S18" s="148"/>
      <c r="T18" s="160">
        <v>199500.0</v>
      </c>
      <c r="U18" s="160" t="s">
        <v>112</v>
      </c>
      <c r="V18" s="160">
        <v>6000.0</v>
      </c>
      <c r="W18" s="161">
        <v>856715.78</v>
      </c>
      <c r="X18" s="134"/>
      <c r="Y18" s="134"/>
      <c r="Z18" s="136"/>
      <c r="AA18" s="136"/>
      <c r="AB18" s="136"/>
      <c r="AC18" s="15"/>
    </row>
    <row r="19">
      <c r="A19" s="173"/>
      <c r="B19" s="54" t="s">
        <v>44</v>
      </c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5"/>
      <c r="V19" s="174"/>
      <c r="W19" s="174"/>
      <c r="X19" s="176"/>
      <c r="Y19" s="176"/>
      <c r="Z19" s="176"/>
      <c r="AA19" s="176"/>
      <c r="AB19" s="176"/>
      <c r="AC19" s="15"/>
    </row>
    <row r="20">
      <c r="A20" s="177"/>
      <c r="B20" s="177"/>
      <c r="C20" s="178">
        <f t="shared" ref="C20:F20" si="1">SUM(C4,C6,C8,C10,C12,C14,C16,C18)</f>
        <v>20565798</v>
      </c>
      <c r="D20" s="178">
        <f t="shared" si="1"/>
        <v>135230.72</v>
      </c>
      <c r="E20" s="178">
        <f t="shared" si="1"/>
        <v>34875</v>
      </c>
      <c r="F20" s="178">
        <f t="shared" si="1"/>
        <v>646125</v>
      </c>
      <c r="G20" s="177"/>
      <c r="H20" s="177"/>
      <c r="I20" s="177"/>
      <c r="J20" s="177"/>
      <c r="K20" s="178">
        <f t="shared" ref="K20:L20" si="2">SUM(K4,K6,K8,K10,K12,K14,K16,K18)</f>
        <v>4819092.45</v>
      </c>
      <c r="L20" s="178">
        <f t="shared" si="2"/>
        <v>2821609.04</v>
      </c>
      <c r="M20" s="177"/>
      <c r="N20" s="177"/>
      <c r="O20" s="177"/>
      <c r="P20" s="177"/>
      <c r="Q20" s="178">
        <f>SUM(Q4,Q6,Q8,Q10,Q12,Q14,Q16,Q18)</f>
        <v>951126.8</v>
      </c>
      <c r="R20" s="177"/>
      <c r="S20" s="177"/>
      <c r="T20" s="178">
        <f>SUM(T4,T6,T8,T10,T12,T14,T16,T18)</f>
        <v>1767000</v>
      </c>
      <c r="U20" s="178">
        <f>SUM(U4,U6,U8,U10)</f>
        <v>9005736</v>
      </c>
      <c r="V20" s="178">
        <f t="shared" ref="V20:AB20" si="3">SUM(V4,V6,V8,V10,V12,V14,V16,V18)</f>
        <v>48000</v>
      </c>
      <c r="W20" s="178">
        <f t="shared" si="3"/>
        <v>3320284.08</v>
      </c>
      <c r="X20" s="178">
        <f t="shared" si="3"/>
        <v>0</v>
      </c>
      <c r="Y20" s="178">
        <f t="shared" si="3"/>
        <v>0</v>
      </c>
      <c r="Z20" s="178">
        <f t="shared" si="3"/>
        <v>0</v>
      </c>
      <c r="AA20" s="179">
        <f t="shared" si="3"/>
        <v>422121</v>
      </c>
      <c r="AB20" s="179">
        <f t="shared" si="3"/>
        <v>2650000</v>
      </c>
      <c r="AC20" s="180">
        <f>SUM(F20:AB20)</f>
        <v>26451094.37</v>
      </c>
    </row>
    <row r="21" ht="15.75" customHeight="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</row>
    <row r="22" ht="15.75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</row>
    <row r="23" ht="15.75" customHeight="1">
      <c r="A23" s="181" t="s">
        <v>113</v>
      </c>
      <c r="B23" s="113"/>
      <c r="C23" s="113"/>
      <c r="D23" s="182" t="s">
        <v>114</v>
      </c>
      <c r="E23" s="183"/>
      <c r="F23" s="183"/>
      <c r="G23" s="183"/>
      <c r="H23" s="183"/>
      <c r="I23" s="184"/>
      <c r="J23" s="183"/>
      <c r="K23" s="113"/>
      <c r="L23" s="113"/>
      <c r="M23" s="113"/>
      <c r="N23" s="113"/>
      <c r="O23" s="113"/>
      <c r="P23" s="113"/>
      <c r="Q23" s="185"/>
      <c r="R23" s="113"/>
      <c r="S23" s="113"/>
      <c r="T23" s="113"/>
      <c r="U23" s="113"/>
      <c r="V23" s="113"/>
      <c r="W23" s="113"/>
      <c r="X23" s="113"/>
      <c r="Y23" s="113"/>
      <c r="Z23" s="113"/>
      <c r="AA23" s="113"/>
    </row>
    <row r="24" ht="15.75" customHeight="1">
      <c r="A24" s="113"/>
      <c r="B24" s="113"/>
      <c r="C24" s="113"/>
      <c r="D24" s="113"/>
      <c r="E24" s="113"/>
      <c r="F24" s="113"/>
      <c r="G24" s="113"/>
      <c r="H24" s="113"/>
      <c r="I24" s="186"/>
      <c r="J24" s="113"/>
      <c r="K24" s="113"/>
      <c r="L24" s="113"/>
      <c r="M24" s="113"/>
      <c r="N24" s="113"/>
      <c r="O24" s="113"/>
      <c r="P24" s="113"/>
      <c r="Q24" s="187"/>
      <c r="R24" s="113"/>
      <c r="S24" s="113"/>
      <c r="T24" s="113"/>
      <c r="U24" s="113"/>
      <c r="V24" s="113"/>
      <c r="W24" s="113"/>
      <c r="X24" s="113"/>
      <c r="Y24" s="113"/>
      <c r="Z24" s="113"/>
      <c r="AA24" s="113"/>
    </row>
    <row r="25" ht="15.75" customHeight="1">
      <c r="A25" s="113"/>
      <c r="B25" s="113"/>
      <c r="C25" s="113"/>
      <c r="D25" s="113"/>
      <c r="E25" s="113"/>
      <c r="F25" s="113"/>
      <c r="G25" s="113"/>
      <c r="H25" s="113"/>
      <c r="I25" s="188"/>
      <c r="J25" s="113"/>
      <c r="K25" s="113"/>
      <c r="L25" s="113"/>
      <c r="M25" s="113"/>
      <c r="N25" s="113"/>
      <c r="O25" s="113"/>
      <c r="P25" s="113"/>
      <c r="Q25" s="189"/>
      <c r="R25" s="113"/>
      <c r="S25" s="113"/>
      <c r="T25" s="113"/>
      <c r="U25" s="113"/>
      <c r="V25" s="113"/>
      <c r="W25" s="113"/>
      <c r="X25" s="113"/>
      <c r="Y25" s="113"/>
      <c r="Z25" s="113"/>
      <c r="AA25" s="113"/>
    </row>
    <row r="26" ht="15.75" customHeight="1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</row>
    <row r="27" ht="15.75" customHeight="1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</row>
    <row r="28" ht="15.75" customHeight="1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</row>
    <row r="29" ht="15.75" customHeight="1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</row>
    <row r="30" ht="15.75" customHeight="1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</row>
    <row r="31" ht="15.75" customHeight="1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</row>
    <row r="32" ht="15.75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</row>
    <row r="33" ht="15.75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</row>
    <row r="34" ht="15.75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</row>
    <row r="35" ht="15.7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</row>
    <row r="36" ht="15.7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</row>
    <row r="37" ht="15.75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</row>
    <row r="38" ht="15.75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</row>
    <row r="39" ht="15.75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</row>
    <row r="40" ht="15.75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</row>
    <row r="41" ht="15.75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</row>
    <row r="42" ht="15.7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</row>
    <row r="43" ht="15.7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</row>
    <row r="44" ht="15.7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</row>
    <row r="45" ht="15.7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</row>
    <row r="46" ht="15.7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</row>
    <row r="47" ht="15.7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</row>
    <row r="48" ht="15.75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</row>
    <row r="49" ht="15.7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</row>
    <row r="50" ht="15.7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</row>
    <row r="51" ht="15.7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</row>
    <row r="52" ht="15.7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</row>
    <row r="53" ht="15.7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</row>
    <row r="54" ht="15.75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</row>
    <row r="55" ht="15.7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</row>
    <row r="56" ht="15.75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</row>
    <row r="57" ht="15.7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</row>
    <row r="58" ht="15.7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</row>
    <row r="59" ht="15.75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</row>
    <row r="60" ht="15.75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</row>
    <row r="61" ht="15.75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</row>
    <row r="62" ht="15.75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</row>
    <row r="63" ht="15.75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</row>
    <row r="64" ht="15.75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</row>
    <row r="65" ht="15.75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</row>
    <row r="66" ht="15.75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</row>
    <row r="67" ht="15.7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</row>
    <row r="68" ht="15.75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</row>
    <row r="69" ht="15.75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</row>
    <row r="70" ht="15.75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</row>
    <row r="71" ht="15.75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</row>
    <row r="72" ht="15.75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</row>
    <row r="73" ht="15.75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</row>
    <row r="74" ht="15.75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</row>
    <row r="75" ht="15.75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</row>
    <row r="76" ht="15.75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</row>
    <row r="77" ht="15.75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</row>
    <row r="78" ht="15.75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</row>
    <row r="79" ht="15.75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</row>
    <row r="80" ht="15.7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</row>
    <row r="81" ht="15.7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</row>
    <row r="82" ht="15.7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</row>
    <row r="83" ht="15.7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</row>
    <row r="84" ht="15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</row>
    <row r="85" ht="15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</row>
    <row r="86" ht="15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</row>
    <row r="87" ht="15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</row>
    <row r="88" ht="15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</row>
    <row r="89" ht="15.7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</row>
    <row r="90" ht="15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</row>
    <row r="91" ht="15.7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</row>
    <row r="92" ht="15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</row>
    <row r="93" ht="15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</row>
    <row r="94" ht="15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</row>
    <row r="95" ht="15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</row>
    <row r="96" ht="15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</row>
    <row r="97" ht="15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</row>
    <row r="98" ht="15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</row>
    <row r="99" ht="15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</row>
    <row r="100" ht="15.7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</row>
    <row r="101" ht="15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</row>
    <row r="102" ht="15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</row>
    <row r="103" ht="15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</row>
    <row r="104" ht="15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</row>
    <row r="105" ht="15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</row>
    <row r="106" ht="15.7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</row>
    <row r="107" ht="15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</row>
    <row r="108" ht="15.7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</row>
    <row r="109" ht="15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</row>
    <row r="110" ht="15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</row>
    <row r="111" ht="15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</row>
    <row r="112" ht="15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</row>
    <row r="113" ht="15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</row>
    <row r="114" ht="15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</row>
    <row r="115" ht="15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</row>
    <row r="116" ht="15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</row>
    <row r="117" ht="15.7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</row>
    <row r="118" ht="15.7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</row>
    <row r="119" ht="15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</row>
    <row r="120" ht="15.7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</row>
    <row r="121" ht="15.7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</row>
    <row r="122" ht="15.7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</row>
    <row r="123" ht="15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</row>
    <row r="124" ht="15.7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</row>
    <row r="125" ht="15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</row>
    <row r="126" ht="15.7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</row>
    <row r="127" ht="15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</row>
    <row r="128" ht="15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</row>
    <row r="129" ht="15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</row>
    <row r="130" ht="15.7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</row>
    <row r="131" ht="15.7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</row>
    <row r="132" ht="15.7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</row>
    <row r="133" ht="15.7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</row>
    <row r="134" ht="15.7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</row>
    <row r="135" ht="15.75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</row>
    <row r="136" ht="15.7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</row>
    <row r="137" ht="15.7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</row>
    <row r="138" ht="15.7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</row>
    <row r="139" ht="15.7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</row>
    <row r="140" ht="15.7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</row>
    <row r="141" ht="15.75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</row>
    <row r="142" ht="15.7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</row>
    <row r="143" ht="15.75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</row>
    <row r="144" ht="15.7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</row>
    <row r="145" ht="15.7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</row>
    <row r="146" ht="15.7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</row>
    <row r="147" ht="15.7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</row>
    <row r="148" ht="15.7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</row>
    <row r="149" ht="15.7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</row>
    <row r="150" ht="15.7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</row>
    <row r="151" ht="15.7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</row>
    <row r="152" ht="15.75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</row>
    <row r="153" ht="15.7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</row>
    <row r="154" ht="15.7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</row>
    <row r="155" ht="15.7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</row>
    <row r="156" ht="15.7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</row>
    <row r="157" ht="15.7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</row>
    <row r="158" ht="15.75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</row>
    <row r="159" ht="15.7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</row>
    <row r="160" ht="15.75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</row>
    <row r="161" ht="15.7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</row>
    <row r="162" ht="15.7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</row>
    <row r="163" ht="15.7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</row>
    <row r="164" ht="15.7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</row>
    <row r="165" ht="15.7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</row>
    <row r="166" ht="15.7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</row>
    <row r="167" ht="15.7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</row>
    <row r="168" ht="15.7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</row>
    <row r="169" ht="15.75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</row>
    <row r="170" ht="15.7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</row>
    <row r="171" ht="15.7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</row>
    <row r="172" ht="15.75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</row>
    <row r="173" ht="15.7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</row>
    <row r="174" ht="15.7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</row>
    <row r="175" ht="15.7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</row>
    <row r="176" ht="15.7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</row>
    <row r="177" ht="15.7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</row>
    <row r="178" ht="15.75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</row>
    <row r="179" ht="15.7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</row>
    <row r="180" ht="15.75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</row>
    <row r="181" ht="15.7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</row>
    <row r="182" ht="15.7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</row>
    <row r="183" ht="15.7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</row>
    <row r="184" ht="15.7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</row>
    <row r="185" ht="15.7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</row>
    <row r="186" ht="15.7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</row>
    <row r="187" ht="15.7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</row>
    <row r="188" ht="15.7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</row>
    <row r="189" ht="15.7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</row>
    <row r="190" ht="15.7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</row>
    <row r="191" ht="15.7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</row>
    <row r="192" ht="15.7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</row>
    <row r="193" ht="15.75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</row>
    <row r="194" ht="15.75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</row>
    <row r="195" ht="15.75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</row>
    <row r="196" ht="15.75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</row>
    <row r="197" ht="15.75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</row>
    <row r="198" ht="15.75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</row>
    <row r="199" ht="15.75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</row>
    <row r="200" ht="15.75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</row>
    <row r="201" ht="15.75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</row>
    <row r="202" ht="15.75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</row>
    <row r="203" ht="15.75" customHeight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</row>
    <row r="204" ht="15.75" customHeight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</row>
    <row r="205" ht="15.75" customHeight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</row>
    <row r="206" ht="15.75" customHeight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</row>
    <row r="207" ht="15.75" customHeight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</row>
    <row r="208" ht="15.75" customHeight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</row>
    <row r="209" ht="15.75" customHeight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</row>
    <row r="210" ht="15.75" customHeight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</row>
    <row r="211" ht="15.75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</row>
    <row r="212" ht="15.75" customHeight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</row>
    <row r="213" ht="15.75" customHeight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</row>
    <row r="214" ht="15.75" customHeight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</row>
    <row r="215" ht="15.75" customHeight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</row>
    <row r="216" ht="15.75" customHeight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</row>
    <row r="217" ht="15.75" customHeight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</row>
    <row r="218" ht="15.75" customHeight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</row>
    <row r="219" ht="15.75" customHeight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</row>
    <row r="220" ht="15.75" customHeight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</row>
    <row r="221" ht="15.75" customHeight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</row>
    <row r="222" ht="15.75" customHeight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</row>
    <row r="223" ht="15.75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</row>
    <row r="224" ht="15.75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</row>
    <row r="225" ht="15.75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</row>
    <row r="226" ht="15.75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</row>
    <row r="227" ht="15.75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</row>
    <row r="228" ht="15.75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</row>
    <row r="229" ht="15.75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</row>
    <row r="230" ht="15.75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</row>
    <row r="231" ht="15.75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</row>
    <row r="232" ht="15.75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</row>
    <row r="233" ht="15.75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</row>
    <row r="234" ht="15.75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</row>
    <row r="235" ht="15.75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</row>
    <row r="236" ht="15.75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</row>
    <row r="237" ht="15.75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</row>
    <row r="238" ht="15.75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</row>
    <row r="239" ht="15.75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</row>
    <row r="240" ht="15.75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</row>
    <row r="241" ht="15.75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</row>
    <row r="242" ht="15.75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</row>
    <row r="243" ht="15.75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</row>
    <row r="244" ht="15.75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</row>
    <row r="245" ht="15.75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</row>
    <row r="246" ht="15.75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</row>
    <row r="247" ht="15.75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</row>
    <row r="248" ht="15.75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</row>
    <row r="249" ht="15.75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</row>
    <row r="250" ht="15.75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</row>
    <row r="251" ht="15.75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</row>
    <row r="252" ht="15.75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</row>
    <row r="253" ht="15.75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</row>
    <row r="254" ht="15.75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</row>
    <row r="255" ht="15.75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</row>
    <row r="256" ht="15.75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</row>
    <row r="257" ht="15.75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</row>
    <row r="258" ht="15.75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</row>
    <row r="259" ht="15.75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</row>
    <row r="260" ht="15.75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</row>
    <row r="261" ht="15.75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</row>
    <row r="262" ht="15.75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</row>
    <row r="263" ht="15.75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</row>
    <row r="264" ht="15.75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</row>
    <row r="265" ht="15.75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</row>
    <row r="266" ht="15.75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</row>
    <row r="267" ht="15.75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</row>
    <row r="268" ht="15.75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</row>
    <row r="269" ht="15.75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</row>
    <row r="270" ht="15.75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</row>
    <row r="271" ht="15.75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</row>
    <row r="272" ht="15.75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</row>
    <row r="273" ht="15.75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</row>
    <row r="274" ht="15.75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</row>
    <row r="275" ht="15.75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</row>
    <row r="276" ht="15.75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</row>
    <row r="277" ht="15.75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</row>
    <row r="278" ht="15.75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</row>
    <row r="279" ht="15.75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</row>
    <row r="280" ht="15.7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</row>
    <row r="281" ht="15.75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</row>
    <row r="282" ht="15.75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</row>
    <row r="283" ht="15.75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</row>
    <row r="284" ht="15.7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</row>
    <row r="285" ht="15.75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</row>
    <row r="286" ht="15.75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</row>
    <row r="287" ht="15.75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</row>
    <row r="288" ht="15.75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</row>
    <row r="289" ht="15.7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</row>
    <row r="290" ht="15.75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</row>
    <row r="291" ht="15.7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</row>
    <row r="292" ht="15.75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</row>
    <row r="293" ht="15.75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</row>
    <row r="294" ht="15.75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</row>
    <row r="295" ht="15.7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</row>
    <row r="296" ht="15.75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</row>
    <row r="297" ht="15.75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</row>
    <row r="298" ht="15.7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</row>
    <row r="299" ht="15.75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</row>
    <row r="300" ht="15.7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</row>
    <row r="301" ht="15.75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</row>
    <row r="302" ht="15.75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</row>
    <row r="303" ht="15.7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</row>
    <row r="304" ht="15.75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</row>
    <row r="305" ht="15.75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</row>
    <row r="306" ht="15.75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</row>
    <row r="307" ht="15.7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</row>
    <row r="308" ht="15.75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</row>
    <row r="309" ht="15.7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</row>
    <row r="310" ht="15.75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</row>
    <row r="311" ht="15.75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</row>
    <row r="312" ht="15.75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</row>
    <row r="313" ht="15.75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</row>
    <row r="314" ht="15.7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</row>
    <row r="315" ht="15.75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</row>
    <row r="316" ht="15.75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</row>
    <row r="317" ht="15.75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</row>
    <row r="318" ht="15.75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</row>
    <row r="319" ht="15.7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</row>
    <row r="320" ht="15.75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</row>
    <row r="321" ht="15.75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</row>
    <row r="322" ht="15.75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</row>
    <row r="323" ht="15.75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</row>
    <row r="324" ht="15.7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</row>
    <row r="325" ht="15.75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</row>
    <row r="326" ht="15.75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</row>
    <row r="327" ht="15.75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</row>
    <row r="328" ht="15.7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</row>
    <row r="329" ht="15.75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</row>
    <row r="330" ht="15.7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</row>
    <row r="331" ht="15.75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</row>
    <row r="332" ht="15.75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</row>
    <row r="333" ht="15.7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</row>
    <row r="334" ht="15.75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</row>
    <row r="335" ht="15.75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</row>
    <row r="336" ht="15.75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</row>
    <row r="337" ht="15.7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</row>
    <row r="338" ht="15.75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</row>
    <row r="339" ht="15.7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</row>
    <row r="340" ht="15.75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</row>
    <row r="341" ht="15.75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</row>
    <row r="342" ht="15.75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</row>
    <row r="343" ht="15.7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</row>
    <row r="344" ht="15.75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</row>
    <row r="345" ht="15.75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</row>
    <row r="346" ht="15.75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</row>
    <row r="347" ht="15.75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</row>
    <row r="348" ht="15.7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</row>
    <row r="349" ht="15.75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</row>
    <row r="350" ht="15.75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</row>
    <row r="351" ht="15.7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</row>
    <row r="352" ht="15.75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</row>
    <row r="353" ht="15.75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</row>
    <row r="354" ht="15.7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</row>
    <row r="355" ht="15.75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</row>
    <row r="356" ht="15.75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</row>
    <row r="357" ht="15.7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</row>
    <row r="358" ht="15.7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</row>
    <row r="359" ht="15.75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</row>
    <row r="360" ht="15.75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</row>
    <row r="361" ht="15.7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</row>
    <row r="362" ht="15.7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</row>
    <row r="363" ht="15.7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</row>
    <row r="364" ht="15.7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</row>
    <row r="365" ht="15.7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</row>
    <row r="366" ht="15.7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</row>
    <row r="367" ht="15.7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</row>
    <row r="368" ht="15.7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</row>
    <row r="369" ht="15.7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</row>
    <row r="370" ht="15.7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</row>
    <row r="371" ht="15.7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</row>
    <row r="372" ht="15.7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</row>
    <row r="373" ht="15.7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</row>
    <row r="374" ht="15.7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</row>
    <row r="375" ht="15.7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</row>
    <row r="376" ht="15.7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</row>
    <row r="377" ht="15.7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</row>
    <row r="378" ht="15.7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</row>
    <row r="379" ht="15.7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</row>
    <row r="380" ht="15.7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</row>
    <row r="381" ht="15.7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</row>
    <row r="382" ht="15.7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</row>
    <row r="383" ht="15.7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</row>
    <row r="384" ht="15.7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</row>
    <row r="385" ht="15.7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</row>
    <row r="386" ht="15.7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</row>
    <row r="387" ht="15.7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</row>
    <row r="388" ht="15.7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</row>
    <row r="389" ht="15.7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</row>
    <row r="390" ht="15.7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</row>
    <row r="391" ht="15.7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</row>
    <row r="392" ht="15.7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</row>
    <row r="393" ht="15.7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</row>
    <row r="394" ht="15.7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</row>
    <row r="395" ht="15.7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</row>
    <row r="396" ht="15.7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</row>
    <row r="397" ht="15.7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</row>
    <row r="398" ht="15.7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</row>
    <row r="399" ht="15.7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</row>
    <row r="400" ht="15.7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</row>
    <row r="401" ht="15.7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</row>
    <row r="402" ht="15.7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</row>
    <row r="403" ht="15.7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</row>
    <row r="404" ht="15.7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</row>
    <row r="405" ht="15.7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</row>
    <row r="406" ht="15.7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</row>
    <row r="407" ht="15.7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</row>
    <row r="408" ht="15.7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</row>
    <row r="409" ht="15.7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</row>
    <row r="410" ht="15.7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</row>
    <row r="411" ht="15.7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</row>
    <row r="412" ht="15.7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</row>
    <row r="413" ht="15.7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</row>
    <row r="414" ht="15.7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</row>
    <row r="415" ht="15.7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</row>
    <row r="416" ht="15.7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</row>
    <row r="417" ht="15.7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</row>
    <row r="418" ht="15.7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</row>
    <row r="419" ht="15.7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</row>
    <row r="420" ht="15.7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</row>
    <row r="421" ht="15.7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</row>
    <row r="422" ht="15.7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</row>
    <row r="423" ht="15.7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</row>
    <row r="424" ht="15.7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</row>
    <row r="425" ht="15.7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</row>
    <row r="426" ht="15.7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</row>
    <row r="427" ht="15.7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</row>
    <row r="428" ht="15.7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</row>
    <row r="429" ht="15.7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</row>
    <row r="430" ht="15.7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</row>
    <row r="431" ht="15.7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</row>
    <row r="432" ht="15.7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</row>
    <row r="433" ht="15.7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</row>
    <row r="434" ht="15.7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</row>
    <row r="435" ht="15.7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</row>
    <row r="436" ht="15.7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</row>
    <row r="437" ht="15.7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</row>
    <row r="438" ht="15.7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</row>
    <row r="439" ht="15.7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</row>
    <row r="440" ht="15.7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</row>
    <row r="441" ht="15.7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</row>
    <row r="442" ht="15.7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</row>
    <row r="443" ht="15.7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</row>
    <row r="444" ht="15.7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</row>
    <row r="445" ht="15.7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</row>
    <row r="446" ht="15.7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</row>
    <row r="447" ht="15.7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</row>
    <row r="448" ht="15.7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</row>
    <row r="449" ht="15.7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</row>
    <row r="450" ht="15.7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</row>
    <row r="451" ht="15.7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</row>
    <row r="452" ht="15.7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</row>
    <row r="453" ht="15.7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</row>
    <row r="454" ht="15.7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</row>
    <row r="455" ht="15.7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</row>
    <row r="456" ht="15.7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</row>
    <row r="457" ht="15.7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</row>
    <row r="458" ht="15.7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</row>
    <row r="459" ht="15.7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</row>
    <row r="460" ht="15.7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</row>
    <row r="461" ht="15.7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</row>
    <row r="462" ht="15.7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</row>
    <row r="463" ht="15.7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</row>
    <row r="464" ht="15.7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</row>
    <row r="465" ht="15.7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</row>
    <row r="466" ht="15.7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</row>
    <row r="467" ht="15.7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</row>
    <row r="468" ht="15.7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</row>
    <row r="469" ht="15.7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</row>
    <row r="470" ht="15.7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</row>
    <row r="471" ht="15.7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</row>
    <row r="472" ht="15.7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</row>
    <row r="473" ht="15.7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</row>
    <row r="474" ht="15.7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</row>
    <row r="475" ht="15.7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</row>
    <row r="476" ht="15.7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</row>
    <row r="477" ht="15.7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</row>
    <row r="478" ht="15.7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</row>
    <row r="479" ht="15.7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</row>
    <row r="480" ht="15.7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</row>
    <row r="481" ht="15.7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</row>
    <row r="482" ht="15.7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</row>
    <row r="483" ht="15.7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</row>
    <row r="484" ht="15.7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</row>
    <row r="485" ht="15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</row>
    <row r="486" ht="15.7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</row>
    <row r="487" ht="15.7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</row>
    <row r="488" ht="15.7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</row>
    <row r="489" ht="15.7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</row>
    <row r="490" ht="15.7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</row>
    <row r="491" ht="15.7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</row>
    <row r="492" ht="15.7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</row>
    <row r="493" ht="15.7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</row>
    <row r="494" ht="15.7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</row>
    <row r="495" ht="15.7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</row>
    <row r="496" ht="15.7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</row>
    <row r="497" ht="15.7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</row>
    <row r="498" ht="15.7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</row>
    <row r="499" ht="15.7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</row>
    <row r="500" ht="15.7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</row>
    <row r="501" ht="15.7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</row>
    <row r="502" ht="15.7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</row>
    <row r="503" ht="15.7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</row>
    <row r="504" ht="15.7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</row>
    <row r="505" ht="15.7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</row>
    <row r="506" ht="15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</row>
    <row r="507" ht="15.7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</row>
    <row r="508" ht="15.7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</row>
    <row r="509" ht="15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</row>
    <row r="510" ht="15.7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</row>
    <row r="511" ht="15.7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</row>
    <row r="512" ht="15.7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</row>
    <row r="513" ht="15.7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</row>
    <row r="514" ht="15.7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</row>
    <row r="515" ht="15.7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</row>
    <row r="516" ht="15.7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</row>
    <row r="517" ht="15.7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</row>
    <row r="518" ht="15.7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</row>
    <row r="519" ht="15.7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</row>
    <row r="520" ht="15.7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</row>
    <row r="521" ht="15.7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</row>
    <row r="522" ht="15.7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</row>
    <row r="523" ht="15.7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</row>
    <row r="524" ht="15.7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</row>
    <row r="525" ht="15.7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</row>
    <row r="526" ht="15.7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</row>
    <row r="527" ht="15.7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</row>
    <row r="528" ht="15.7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</row>
    <row r="529" ht="15.7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</row>
    <row r="530" ht="15.7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</row>
    <row r="531" ht="15.7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</row>
    <row r="532" ht="15.7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</row>
    <row r="533" ht="15.7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</row>
    <row r="534" ht="15.7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</row>
    <row r="535" ht="15.7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</row>
    <row r="536" ht="15.7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</row>
    <row r="537" ht="15.7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</row>
    <row r="538" ht="15.7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</row>
    <row r="539" ht="15.7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</row>
    <row r="540" ht="15.7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</row>
    <row r="541" ht="15.7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</row>
    <row r="542" ht="15.7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</row>
    <row r="543" ht="15.7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</row>
    <row r="544" ht="15.7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</row>
    <row r="545" ht="15.7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</row>
    <row r="546" ht="15.7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</row>
    <row r="547" ht="15.7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</row>
    <row r="548" ht="15.7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</row>
    <row r="549" ht="15.7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</row>
    <row r="550" ht="15.7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</row>
    <row r="551" ht="15.7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</row>
    <row r="552" ht="15.7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</row>
    <row r="553" ht="15.7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</row>
    <row r="554" ht="15.7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</row>
    <row r="555" ht="15.7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</row>
    <row r="556" ht="15.7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</row>
    <row r="557" ht="15.7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</row>
    <row r="558" ht="15.7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</row>
    <row r="559" ht="15.7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</row>
    <row r="560" ht="15.7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</row>
    <row r="561" ht="15.7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</row>
    <row r="562" ht="15.7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</row>
    <row r="563" ht="15.7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</row>
    <row r="564" ht="15.7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</row>
    <row r="565" ht="15.7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</row>
    <row r="566" ht="15.7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</row>
    <row r="567" ht="15.7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</row>
    <row r="568" ht="15.7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</row>
    <row r="569" ht="15.7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</row>
    <row r="570" ht="15.7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</row>
    <row r="571" ht="15.7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</row>
    <row r="572" ht="15.7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</row>
    <row r="573" ht="15.7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</row>
    <row r="574" ht="15.7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</row>
    <row r="575" ht="15.7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</row>
    <row r="576" ht="15.7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</row>
    <row r="577" ht="15.7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</row>
    <row r="578" ht="15.7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</row>
    <row r="579" ht="15.7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</row>
    <row r="580" ht="15.7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</row>
    <row r="581" ht="15.7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</row>
    <row r="582" ht="15.7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</row>
    <row r="583" ht="15.7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</row>
    <row r="584" ht="15.7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</row>
    <row r="585" ht="15.7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</row>
    <row r="586" ht="15.7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</row>
    <row r="587" ht="15.7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</row>
    <row r="588" ht="15.7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</row>
    <row r="589" ht="15.7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</row>
    <row r="590" ht="15.7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</row>
    <row r="591" ht="15.7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</row>
    <row r="592" ht="15.7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</row>
    <row r="593" ht="15.7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</row>
    <row r="594" ht="15.7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</row>
    <row r="595" ht="15.7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</row>
    <row r="596" ht="15.7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</row>
    <row r="597" ht="15.7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</row>
    <row r="598" ht="15.7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</row>
    <row r="599" ht="15.7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</row>
    <row r="600" ht="15.7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</row>
    <row r="601" ht="15.7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</row>
    <row r="602" ht="15.7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</row>
    <row r="603" ht="15.7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</row>
    <row r="604" ht="15.7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</row>
    <row r="605" ht="15.7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</row>
    <row r="606" ht="15.7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</row>
    <row r="607" ht="15.7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</row>
    <row r="608" ht="15.7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</row>
    <row r="609" ht="15.7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</row>
    <row r="610" ht="15.7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</row>
    <row r="611" ht="15.7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</row>
    <row r="612" ht="15.7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</row>
    <row r="613" ht="15.7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</row>
    <row r="614" ht="15.7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</row>
    <row r="615" ht="15.7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</row>
    <row r="616" ht="15.7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</row>
    <row r="617" ht="15.7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</row>
    <row r="618" ht="15.7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</row>
    <row r="619" ht="15.7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</row>
    <row r="620" ht="15.7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</row>
    <row r="621" ht="15.7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</row>
    <row r="622" ht="15.7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</row>
    <row r="623" ht="15.7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</row>
    <row r="624" ht="15.7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</row>
    <row r="625" ht="15.7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</row>
    <row r="626" ht="15.7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</row>
    <row r="627" ht="15.7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</row>
    <row r="628" ht="15.7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</row>
    <row r="629" ht="15.7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</row>
    <row r="630" ht="15.7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</row>
    <row r="631" ht="15.7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</row>
    <row r="632" ht="15.7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</row>
    <row r="633" ht="15.7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</row>
    <row r="634" ht="15.7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</row>
    <row r="635" ht="15.7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</row>
    <row r="636" ht="15.7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</row>
    <row r="637" ht="15.7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</row>
    <row r="638" ht="15.7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</row>
    <row r="639" ht="15.7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</row>
    <row r="640" ht="15.7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</row>
    <row r="641" ht="15.7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</row>
    <row r="642" ht="15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</row>
    <row r="643" ht="15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</row>
    <row r="644" ht="15.7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</row>
    <row r="645" ht="15.7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</row>
    <row r="646" ht="15.7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</row>
    <row r="647" ht="15.7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</row>
    <row r="648" ht="15.7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</row>
    <row r="649" ht="15.7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</row>
    <row r="650" ht="15.7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</row>
    <row r="651" ht="15.7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</row>
    <row r="652" ht="15.7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</row>
    <row r="653" ht="15.7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</row>
    <row r="654" ht="15.7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</row>
    <row r="655" ht="15.7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</row>
    <row r="656" ht="15.7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</row>
    <row r="657" ht="15.7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</row>
    <row r="658" ht="15.7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</row>
    <row r="659" ht="15.7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</row>
    <row r="660" ht="15.7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</row>
    <row r="661" ht="15.7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</row>
    <row r="662" ht="15.7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</row>
    <row r="663" ht="15.7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</row>
    <row r="664" ht="15.7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</row>
    <row r="665" ht="15.7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</row>
    <row r="666" ht="15.7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</row>
    <row r="667" ht="15.7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</row>
    <row r="668" ht="15.7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</row>
    <row r="669" ht="15.7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</row>
    <row r="670" ht="15.7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</row>
    <row r="671" ht="15.7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</row>
    <row r="672" ht="15.7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</row>
    <row r="673" ht="15.7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</row>
    <row r="674" ht="15.7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</row>
    <row r="675" ht="15.7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</row>
    <row r="676" ht="15.7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</row>
    <row r="677" ht="15.7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</row>
    <row r="678" ht="15.7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</row>
    <row r="679" ht="15.7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</row>
    <row r="680" ht="15.7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</row>
    <row r="681" ht="15.7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</row>
    <row r="682" ht="15.7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</row>
    <row r="683" ht="15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</row>
    <row r="684" ht="15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</row>
    <row r="685" ht="15.7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</row>
    <row r="686" ht="15.7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</row>
    <row r="687" ht="15.7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</row>
    <row r="688" ht="15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</row>
    <row r="689" ht="15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</row>
    <row r="690" ht="15.7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</row>
    <row r="691" ht="15.7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</row>
    <row r="692" ht="15.7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</row>
    <row r="693" ht="15.7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</row>
    <row r="694" ht="15.7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</row>
    <row r="695" ht="15.7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</row>
    <row r="696" ht="15.7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</row>
    <row r="697" ht="15.7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</row>
    <row r="698" ht="15.7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</row>
    <row r="699" ht="15.7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</row>
    <row r="700" ht="15.7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</row>
    <row r="701" ht="15.7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</row>
    <row r="702" ht="15.7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</row>
    <row r="703" ht="15.7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</row>
    <row r="704" ht="15.7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</row>
    <row r="705" ht="15.7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</row>
    <row r="706" ht="15.7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</row>
    <row r="707" ht="15.7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</row>
    <row r="708" ht="15.7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</row>
    <row r="709" ht="15.7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</row>
    <row r="710" ht="15.7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</row>
    <row r="711" ht="15.7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</row>
    <row r="712" ht="15.7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</row>
    <row r="713" ht="15.7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</row>
    <row r="714" ht="15.7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</row>
    <row r="715" ht="15.7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</row>
    <row r="716" ht="15.7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</row>
    <row r="717" ht="15.7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</row>
    <row r="718" ht="15.7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</row>
    <row r="719" ht="15.7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</row>
    <row r="720" ht="15.7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</row>
    <row r="721" ht="15.7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</row>
    <row r="722" ht="15.7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</row>
    <row r="723" ht="15.7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</row>
    <row r="724" ht="15.7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</row>
    <row r="725" ht="15.7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</row>
    <row r="726" ht="15.7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</row>
    <row r="727" ht="15.7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</row>
    <row r="728" ht="15.7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</row>
    <row r="729" ht="15.7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</row>
    <row r="730" ht="15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</row>
    <row r="731" ht="15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</row>
    <row r="732" ht="15.7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</row>
    <row r="733" ht="15.7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</row>
    <row r="734" ht="15.7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</row>
    <row r="735" ht="15.7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</row>
    <row r="736" ht="15.7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</row>
    <row r="737" ht="15.7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</row>
    <row r="738" ht="15.7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</row>
    <row r="739" ht="15.7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</row>
    <row r="740" ht="15.7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</row>
    <row r="741" ht="15.7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</row>
    <row r="742" ht="15.7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</row>
    <row r="743" ht="15.7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</row>
    <row r="744" ht="15.7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</row>
    <row r="745" ht="15.7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</row>
    <row r="746" ht="15.7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</row>
    <row r="747" ht="15.7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</row>
    <row r="748" ht="15.7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</row>
    <row r="749" ht="15.7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</row>
    <row r="750" ht="15.7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</row>
    <row r="751" ht="15.7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</row>
    <row r="752" ht="15.7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</row>
    <row r="753" ht="15.7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</row>
    <row r="754" ht="15.7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</row>
    <row r="755" ht="15.7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</row>
    <row r="756" ht="15.7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</row>
    <row r="757" ht="15.7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</row>
    <row r="758" ht="15.7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</row>
    <row r="759" ht="15.7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</row>
    <row r="760" ht="15.7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</row>
    <row r="761" ht="15.7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</row>
    <row r="762" ht="15.7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</row>
    <row r="763" ht="15.7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</row>
    <row r="764" ht="15.7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</row>
    <row r="765" ht="15.7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</row>
    <row r="766" ht="15.7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</row>
    <row r="767" ht="15.7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</row>
    <row r="768" ht="15.7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</row>
    <row r="769" ht="15.7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</row>
    <row r="770" ht="15.7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</row>
    <row r="771" ht="15.7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</row>
    <row r="772" ht="15.7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</row>
    <row r="773" ht="15.7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</row>
    <row r="774" ht="15.7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</row>
    <row r="775" ht="15.7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</row>
    <row r="776" ht="15.7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</row>
    <row r="777" ht="15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</row>
    <row r="778" ht="15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</row>
    <row r="779" ht="15.7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</row>
    <row r="780" ht="15.7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</row>
    <row r="781" ht="15.7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</row>
    <row r="782" ht="15.7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</row>
    <row r="783" ht="15.7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</row>
    <row r="784" ht="15.7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</row>
    <row r="785" ht="15.7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</row>
    <row r="786" ht="15.7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</row>
    <row r="787" ht="15.7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</row>
    <row r="788" ht="15.7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</row>
    <row r="789" ht="15.7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</row>
    <row r="790" ht="15.7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</row>
    <row r="791" ht="15.7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</row>
    <row r="792" ht="15.7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</row>
    <row r="793" ht="15.7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</row>
    <row r="794" ht="15.7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</row>
    <row r="795" ht="15.7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</row>
    <row r="796" ht="15.7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</row>
    <row r="797" ht="15.7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</row>
    <row r="798" ht="15.7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</row>
    <row r="799" ht="15.7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</row>
    <row r="800" ht="15.7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</row>
    <row r="801" ht="15.7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</row>
    <row r="802" ht="15.7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</row>
    <row r="803" ht="15.7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</row>
    <row r="804" ht="15.7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</row>
    <row r="805" ht="15.7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</row>
    <row r="806" ht="15.7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</row>
    <row r="807" ht="15.7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</row>
    <row r="808" ht="15.7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</row>
    <row r="809" ht="15.7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</row>
    <row r="810" ht="15.7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</row>
    <row r="811" ht="15.7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</row>
    <row r="812" ht="15.7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</row>
    <row r="813" ht="15.7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</row>
    <row r="814" ht="15.7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</row>
    <row r="815" ht="15.7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</row>
    <row r="816" ht="15.7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</row>
    <row r="817" ht="15.7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</row>
    <row r="818" ht="15.7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</row>
    <row r="819" ht="15.7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</row>
    <row r="820" ht="15.7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</row>
    <row r="821" ht="15.7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</row>
    <row r="822" ht="15.7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</row>
    <row r="823" ht="15.7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</row>
    <row r="824" ht="15.7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</row>
    <row r="825" ht="15.7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</row>
    <row r="826" ht="15.7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</row>
    <row r="827" ht="15.7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</row>
    <row r="828" ht="15.7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</row>
    <row r="829" ht="15.7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</row>
    <row r="830" ht="15.7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</row>
    <row r="831" ht="15.7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</row>
    <row r="832" ht="15.7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</row>
    <row r="833" ht="15.7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</row>
    <row r="834" ht="15.7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</row>
    <row r="835" ht="15.7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</row>
    <row r="836" ht="15.7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</row>
    <row r="837" ht="15.7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</row>
    <row r="838" ht="15.7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</row>
    <row r="839" ht="15.7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</row>
    <row r="840" ht="15.7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</row>
    <row r="841" ht="15.7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</row>
    <row r="842" ht="15.7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</row>
    <row r="843" ht="15.7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</row>
    <row r="844" ht="15.7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</row>
    <row r="845" ht="15.7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</row>
    <row r="846" ht="15.7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</row>
    <row r="847" ht="15.7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</row>
    <row r="848" ht="15.7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</row>
    <row r="849" ht="15.7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</row>
    <row r="850" ht="15.7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</row>
    <row r="851" ht="15.7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</row>
    <row r="852" ht="15.7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</row>
    <row r="853" ht="15.7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</row>
    <row r="854" ht="15.7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</row>
    <row r="855" ht="15.7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</row>
    <row r="856" ht="15.7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</row>
    <row r="857" ht="15.7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</row>
    <row r="858" ht="15.7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</row>
    <row r="859" ht="15.7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</row>
    <row r="860" ht="15.7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</row>
    <row r="861" ht="15.7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</row>
    <row r="862" ht="15.7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</row>
    <row r="863" ht="15.7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</row>
    <row r="864" ht="15.7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</row>
    <row r="865" ht="15.7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</row>
    <row r="866" ht="15.7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</row>
    <row r="867" ht="15.7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</row>
    <row r="868" ht="15.7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</row>
    <row r="869" ht="15.7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</row>
    <row r="870" ht="15.7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</row>
    <row r="871" ht="15.7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</row>
    <row r="872" ht="15.7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</row>
    <row r="873" ht="15.7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</row>
    <row r="874" ht="15.7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</row>
    <row r="875" ht="15.7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</row>
    <row r="876" ht="15.7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</row>
    <row r="877" ht="15.7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</row>
    <row r="878" ht="15.7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</row>
    <row r="879" ht="15.7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</row>
    <row r="880" ht="15.75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</row>
    <row r="881" ht="15.75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</row>
    <row r="882" ht="15.75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</row>
    <row r="883" ht="15.75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</row>
    <row r="884" ht="15.75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</row>
    <row r="885" ht="15.75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</row>
    <row r="886" ht="15.75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</row>
    <row r="887" ht="15.75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</row>
    <row r="888" ht="15.75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</row>
    <row r="889" ht="15.75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</row>
    <row r="890" ht="15.75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</row>
    <row r="891" ht="15.75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</row>
    <row r="892" ht="15.75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</row>
    <row r="893" ht="15.75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</row>
    <row r="894" ht="15.75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</row>
    <row r="895" ht="15.75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</row>
    <row r="896" ht="15.75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</row>
    <row r="897" ht="15.75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</row>
    <row r="898" ht="15.75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</row>
    <row r="899" ht="15.75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</row>
    <row r="900" ht="15.75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</row>
    <row r="901" ht="15.75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</row>
    <row r="902" ht="15.75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</row>
    <row r="903" ht="15.75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</row>
    <row r="904" ht="15.75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</row>
    <row r="905" ht="15.75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</row>
    <row r="906" ht="15.75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</row>
    <row r="907" ht="15.75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</row>
    <row r="908" ht="15.75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</row>
    <row r="909" ht="15.75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</row>
    <row r="910" ht="15.75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</row>
    <row r="911" ht="15.75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</row>
    <row r="912" ht="15.75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</row>
    <row r="913" ht="15.75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</row>
    <row r="914" ht="15.75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</row>
    <row r="915" ht="15.75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</row>
    <row r="916" ht="15.75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</row>
    <row r="917" ht="15.75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</row>
    <row r="918" ht="15.75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</row>
    <row r="919" ht="15.75" customHeight="1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</row>
    <row r="920" ht="15.75" customHeight="1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</row>
    <row r="921" ht="15.75" customHeight="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</row>
    <row r="922" ht="15.75" customHeight="1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</row>
    <row r="923" ht="15.75" customHeight="1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</row>
    <row r="924" ht="15.75" customHeight="1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</row>
    <row r="925" ht="15.75" customHeight="1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</row>
    <row r="926" ht="15.75" customHeight="1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</row>
    <row r="927" ht="15.75" customHeight="1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</row>
    <row r="928" ht="15.75" customHeight="1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</row>
    <row r="929" ht="15.75" customHeight="1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</row>
    <row r="930" ht="15.75" customHeight="1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</row>
    <row r="931" ht="15.75" customHeight="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</row>
    <row r="932" ht="15.75" customHeight="1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</row>
    <row r="933" ht="15.75" customHeight="1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</row>
    <row r="934" ht="15.75" customHeight="1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</row>
    <row r="935" ht="15.75" customHeight="1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</row>
    <row r="936" ht="15.75" customHeight="1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</row>
    <row r="937" ht="15.75" customHeight="1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</row>
    <row r="938" ht="15.75" customHeight="1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</row>
    <row r="939" ht="15.75" customHeight="1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</row>
    <row r="940" ht="15.75" customHeight="1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</row>
    <row r="941" ht="15.75" customHeight="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</row>
    <row r="942" ht="15.75" customHeight="1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</row>
    <row r="943" ht="15.75" customHeight="1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</row>
    <row r="944" ht="15.75" customHeight="1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</row>
    <row r="945" ht="15.75" customHeight="1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</row>
    <row r="946" ht="15.75" customHeight="1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</row>
    <row r="947" ht="15.75" customHeight="1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</row>
    <row r="948" ht="15.75" customHeight="1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</row>
    <row r="949" ht="15.75" customHeight="1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</row>
    <row r="950" ht="15.75" customHeight="1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</row>
    <row r="951" ht="15.75" customHeight="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</row>
    <row r="952" ht="15.75" customHeight="1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</row>
    <row r="953" ht="15.75" customHeight="1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</row>
    <row r="954" ht="15.75" customHeight="1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</row>
    <row r="955" ht="15.75" customHeight="1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</row>
    <row r="956" ht="15.75" customHeight="1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</row>
    <row r="957" ht="15.75" customHeight="1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</row>
    <row r="958" ht="15.75" customHeight="1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</row>
    <row r="959" ht="15.75" customHeight="1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</row>
    <row r="960" ht="15.75" customHeight="1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</row>
    <row r="961" ht="15.75" customHeight="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</row>
    <row r="962" ht="15.75" customHeight="1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</row>
    <row r="963" ht="15.75" customHeight="1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</row>
    <row r="964" ht="15.75" customHeight="1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</row>
    <row r="965" ht="15.75" customHeight="1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</row>
    <row r="966" ht="15.75" customHeight="1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</row>
    <row r="967" ht="15.75" customHeight="1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</row>
    <row r="968" ht="15.75" customHeight="1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</row>
    <row r="969" ht="15.75" customHeight="1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</row>
    <row r="970" ht="15.75" customHeight="1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</row>
    <row r="971" ht="15.75" customHeight="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</row>
    <row r="972" ht="15.75" customHeight="1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</row>
    <row r="973" ht="15.75" customHeight="1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</row>
    <row r="974" ht="15.75" customHeight="1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</row>
    <row r="975" ht="15.75" customHeight="1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</row>
    <row r="976" ht="15.75" customHeight="1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</row>
    <row r="977" ht="15.75" customHeight="1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</row>
    <row r="978" ht="15.75" customHeight="1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</row>
    <row r="979" ht="15.75" customHeight="1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</row>
    <row r="980" ht="15.75" customHeight="1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</row>
    <row r="981" ht="15.75" customHeight="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</row>
    <row r="982" ht="15.75" customHeight="1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</row>
    <row r="983" ht="15.75" customHeight="1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</row>
    <row r="984" ht="15.75" customHeight="1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</row>
    <row r="985" ht="15.75" customHeight="1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</row>
    <row r="986" ht="15.75" customHeight="1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</row>
    <row r="987" ht="15.75" customHeight="1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</row>
    <row r="988" ht="15.75" customHeight="1">
      <c r="A988" s="113"/>
      <c r="B988" s="113"/>
      <c r="C988" s="113"/>
      <c r="D988" s="113"/>
      <c r="E988" s="113"/>
      <c r="F988" s="113"/>
      <c r="G988" s="113"/>
      <c r="H988" s="113"/>
      <c r="I988" s="113"/>
      <c r="J988" s="113"/>
      <c r="K988" s="113"/>
      <c r="L988" s="113"/>
      <c r="M988" s="113"/>
      <c r="N988" s="113"/>
      <c r="O988" s="113"/>
      <c r="P988" s="113"/>
      <c r="Q988" s="113"/>
      <c r="R988" s="113"/>
      <c r="S988" s="113"/>
      <c r="T988" s="113"/>
      <c r="U988" s="113"/>
      <c r="V988" s="113"/>
      <c r="W988" s="113"/>
      <c r="X988" s="113"/>
      <c r="Y988" s="113"/>
      <c r="Z988" s="113"/>
      <c r="AA988" s="113"/>
    </row>
    <row r="989" ht="15.75" customHeight="1">
      <c r="A989" s="113"/>
      <c r="B989" s="113"/>
      <c r="C989" s="113"/>
      <c r="D989" s="113"/>
      <c r="E989" s="113"/>
      <c r="F989" s="113"/>
      <c r="G989" s="113"/>
      <c r="H989" s="113"/>
      <c r="I989" s="113"/>
      <c r="J989" s="113"/>
      <c r="K989" s="113"/>
      <c r="L989" s="113"/>
      <c r="M989" s="113"/>
      <c r="N989" s="113"/>
      <c r="O989" s="113"/>
      <c r="P989" s="113"/>
      <c r="Q989" s="113"/>
      <c r="R989" s="113"/>
      <c r="S989" s="113"/>
      <c r="T989" s="113"/>
      <c r="U989" s="113"/>
      <c r="V989" s="113"/>
      <c r="W989" s="113"/>
      <c r="X989" s="113"/>
      <c r="Y989" s="113"/>
      <c r="Z989" s="113"/>
      <c r="AA989" s="113"/>
    </row>
    <row r="990" ht="15.75" customHeight="1">
      <c r="A990" s="113"/>
      <c r="B990" s="113"/>
      <c r="C990" s="113"/>
      <c r="D990" s="113"/>
      <c r="E990" s="113"/>
      <c r="F990" s="113"/>
      <c r="G990" s="113"/>
      <c r="H990" s="113"/>
      <c r="I990" s="113"/>
      <c r="J990" s="113"/>
      <c r="K990" s="113"/>
      <c r="L990" s="113"/>
      <c r="M990" s="113"/>
      <c r="N990" s="113"/>
      <c r="O990" s="113"/>
      <c r="P990" s="113"/>
      <c r="Q990" s="113"/>
      <c r="R990" s="113"/>
      <c r="S990" s="113"/>
      <c r="T990" s="113"/>
      <c r="U990" s="113"/>
      <c r="V990" s="113"/>
      <c r="W990" s="113"/>
      <c r="X990" s="113"/>
      <c r="Y990" s="113"/>
      <c r="Z990" s="113"/>
      <c r="AA990" s="113"/>
    </row>
    <row r="991" ht="15.75" customHeight="1">
      <c r="A991" s="113"/>
      <c r="B991" s="113"/>
      <c r="C991" s="113"/>
      <c r="D991" s="113"/>
      <c r="E991" s="113"/>
      <c r="F991" s="113"/>
      <c r="G991" s="113"/>
      <c r="H991" s="113"/>
      <c r="I991" s="113"/>
      <c r="J991" s="113"/>
      <c r="K991" s="113"/>
      <c r="L991" s="113"/>
      <c r="M991" s="113"/>
      <c r="N991" s="113"/>
      <c r="O991" s="113"/>
      <c r="P991" s="113"/>
      <c r="Q991" s="113"/>
      <c r="R991" s="113"/>
      <c r="S991" s="113"/>
      <c r="T991" s="113"/>
      <c r="U991" s="113"/>
      <c r="V991" s="113"/>
      <c r="W991" s="113"/>
      <c r="X991" s="113"/>
      <c r="Y991" s="113"/>
      <c r="Z991" s="113"/>
      <c r="AA991" s="113"/>
    </row>
    <row r="992" ht="15.75" customHeight="1">
      <c r="A992" s="113"/>
      <c r="B992" s="113"/>
      <c r="C992" s="113"/>
      <c r="D992" s="113"/>
      <c r="E992" s="113"/>
      <c r="F992" s="113"/>
      <c r="G992" s="113"/>
      <c r="H992" s="113"/>
      <c r="I992" s="113"/>
      <c r="J992" s="113"/>
      <c r="K992" s="113"/>
      <c r="L992" s="113"/>
      <c r="M992" s="113"/>
      <c r="N992" s="113"/>
      <c r="O992" s="113"/>
      <c r="P992" s="113"/>
      <c r="Q992" s="113"/>
      <c r="R992" s="113"/>
      <c r="S992" s="113"/>
      <c r="T992" s="113"/>
      <c r="U992" s="113"/>
      <c r="V992" s="113"/>
      <c r="W992" s="113"/>
      <c r="X992" s="113"/>
      <c r="Y992" s="113"/>
      <c r="Z992" s="113"/>
      <c r="AA992" s="113"/>
    </row>
    <row r="993" ht="15.75" customHeight="1">
      <c r="A993" s="113"/>
      <c r="B993" s="113"/>
      <c r="C993" s="113"/>
      <c r="D993" s="113"/>
      <c r="E993" s="113"/>
      <c r="F993" s="113"/>
      <c r="G993" s="113"/>
      <c r="H993" s="113"/>
      <c r="I993" s="113"/>
      <c r="J993" s="113"/>
      <c r="K993" s="113"/>
      <c r="L993" s="113"/>
      <c r="M993" s="113"/>
      <c r="N993" s="113"/>
      <c r="O993" s="113"/>
      <c r="P993" s="113"/>
      <c r="Q993" s="113"/>
      <c r="R993" s="113"/>
      <c r="S993" s="113"/>
      <c r="T993" s="113"/>
      <c r="U993" s="113"/>
      <c r="V993" s="113"/>
      <c r="W993" s="113"/>
      <c r="X993" s="113"/>
      <c r="Y993" s="113"/>
      <c r="Z993" s="113"/>
      <c r="AA993" s="113"/>
    </row>
    <row r="994" ht="15.75" customHeight="1">
      <c r="A994" s="113"/>
      <c r="B994" s="113"/>
      <c r="C994" s="113"/>
      <c r="D994" s="113"/>
      <c r="E994" s="113"/>
      <c r="F994" s="113"/>
      <c r="G994" s="113"/>
      <c r="H994" s="113"/>
      <c r="I994" s="113"/>
      <c r="J994" s="113"/>
      <c r="K994" s="113"/>
      <c r="L994" s="113"/>
      <c r="M994" s="113"/>
      <c r="N994" s="113"/>
      <c r="O994" s="113"/>
      <c r="P994" s="113"/>
      <c r="Q994" s="113"/>
      <c r="R994" s="113"/>
      <c r="S994" s="113"/>
      <c r="T994" s="113"/>
      <c r="U994" s="113"/>
      <c r="V994" s="113"/>
      <c r="W994" s="113"/>
      <c r="X994" s="113"/>
      <c r="Y994" s="113"/>
      <c r="Z994" s="113"/>
      <c r="AA994" s="113"/>
    </row>
    <row r="995" ht="15.75" customHeight="1">
      <c r="A995" s="113"/>
      <c r="B995" s="113"/>
      <c r="C995" s="113"/>
      <c r="D995" s="113"/>
      <c r="E995" s="113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113"/>
      <c r="S995" s="113"/>
      <c r="T995" s="113"/>
      <c r="U995" s="113"/>
      <c r="V995" s="113"/>
      <c r="W995" s="113"/>
      <c r="X995" s="113"/>
      <c r="Y995" s="113"/>
      <c r="Z995" s="113"/>
      <c r="AA995" s="113"/>
    </row>
    <row r="996" ht="15.75" customHeight="1">
      <c r="A996" s="113"/>
      <c r="B996" s="113"/>
      <c r="C996" s="113"/>
      <c r="D996" s="113"/>
      <c r="E996" s="113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113"/>
      <c r="S996" s="113"/>
      <c r="T996" s="113"/>
      <c r="U996" s="113"/>
      <c r="V996" s="113"/>
      <c r="W996" s="113"/>
      <c r="X996" s="113"/>
      <c r="Y996" s="113"/>
      <c r="Z996" s="113"/>
      <c r="AA996" s="113"/>
    </row>
    <row r="997" ht="15.75" customHeight="1">
      <c r="A997" s="113"/>
      <c r="B997" s="113"/>
      <c r="C997" s="113"/>
      <c r="D997" s="113"/>
      <c r="E997" s="113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113"/>
      <c r="S997" s="113"/>
      <c r="T997" s="113"/>
      <c r="U997" s="113"/>
      <c r="V997" s="113"/>
      <c r="W997" s="113"/>
      <c r="X997" s="113"/>
      <c r="Y997" s="113"/>
      <c r="Z997" s="113"/>
      <c r="AA997" s="113"/>
    </row>
    <row r="998" ht="15.75" customHeight="1">
      <c r="A998" s="113"/>
      <c r="B998" s="113"/>
      <c r="C998" s="113"/>
      <c r="D998" s="113"/>
      <c r="E998" s="113"/>
      <c r="F998" s="113"/>
      <c r="G998" s="113"/>
      <c r="H998" s="113"/>
      <c r="I998" s="113"/>
      <c r="J998" s="113"/>
      <c r="K998" s="113"/>
      <c r="L998" s="113"/>
      <c r="M998" s="113"/>
      <c r="N998" s="113"/>
      <c r="O998" s="113"/>
      <c r="P998" s="113"/>
      <c r="Q998" s="113"/>
      <c r="R998" s="113"/>
      <c r="S998" s="113"/>
      <c r="T998" s="113"/>
      <c r="U998" s="113"/>
      <c r="V998" s="113"/>
      <c r="W998" s="113"/>
      <c r="X998" s="113"/>
      <c r="Y998" s="113"/>
      <c r="Z998" s="113"/>
      <c r="AA998" s="113"/>
    </row>
    <row r="999" ht="15.75" customHeight="1">
      <c r="A999" s="113"/>
      <c r="B999" s="113"/>
      <c r="C999" s="113"/>
      <c r="D999" s="113"/>
      <c r="E999" s="113"/>
      <c r="F999" s="113"/>
      <c r="G999" s="113"/>
      <c r="H999" s="113"/>
      <c r="I999" s="113"/>
      <c r="J999" s="113"/>
      <c r="K999" s="113"/>
      <c r="L999" s="113"/>
      <c r="M999" s="113"/>
      <c r="N999" s="113"/>
      <c r="O999" s="113"/>
      <c r="P999" s="113"/>
      <c r="Q999" s="113"/>
      <c r="R999" s="113"/>
      <c r="S999" s="113"/>
      <c r="T999" s="113"/>
      <c r="U999" s="113"/>
      <c r="V999" s="113"/>
      <c r="W999" s="113"/>
      <c r="X999" s="113"/>
      <c r="Y999" s="113"/>
      <c r="Z999" s="113"/>
      <c r="AA999" s="113"/>
    </row>
    <row r="1000" ht="15.75" customHeight="1">
      <c r="A1000" s="113"/>
      <c r="B1000" s="113"/>
      <c r="C1000" s="113"/>
      <c r="D1000" s="113"/>
      <c r="E1000" s="113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113"/>
      <c r="S1000" s="113"/>
      <c r="T1000" s="113"/>
      <c r="U1000" s="113"/>
      <c r="V1000" s="113"/>
      <c r="W1000" s="113"/>
      <c r="X1000" s="113"/>
      <c r="Y1000" s="113"/>
      <c r="Z1000" s="113"/>
      <c r="AA1000" s="113"/>
    </row>
  </sheetData>
  <mergeCells count="3">
    <mergeCell ref="G2:K2"/>
    <mergeCell ref="M2:Q2"/>
    <mergeCell ref="R2:T2"/>
  </mergeCells>
  <printOptions/>
  <pageMargins bottom="1.0" footer="0.0" header="0.0" left="0.75" right="0.75" top="1.0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497D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4.29"/>
    <col customWidth="1" min="2" max="2" width="31.0"/>
    <col customWidth="1" min="3" max="4" width="32.29"/>
    <col customWidth="1" min="5" max="11" width="33.29"/>
    <col customWidth="1" min="12" max="12" width="30.57"/>
    <col customWidth="1" min="13" max="16" width="27.29"/>
    <col customWidth="1" min="17" max="17" width="23.71"/>
    <col customWidth="1" min="18" max="18" width="31.29"/>
    <col customWidth="1" min="19" max="20" width="33.71"/>
    <col customWidth="1" min="21" max="21" width="26.57"/>
    <col customWidth="1" min="22" max="22" width="35.71"/>
    <col customWidth="1" min="23" max="24" width="39.57"/>
    <col customWidth="1" min="25" max="25" width="32.14"/>
    <col customWidth="1" min="26" max="31" width="9.14"/>
  </cols>
  <sheetData>
    <row r="1">
      <c r="A1" s="190"/>
      <c r="B1" s="191" t="s">
        <v>115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3" t="s">
        <v>116</v>
      </c>
      <c r="R1" s="192"/>
      <c r="S1" s="192"/>
      <c r="T1" s="192"/>
      <c r="U1" s="192"/>
      <c r="V1" s="194"/>
      <c r="W1" s="195" t="s">
        <v>117</v>
      </c>
      <c r="Y1" s="113"/>
      <c r="Z1" s="113"/>
      <c r="AA1" s="113"/>
      <c r="AB1" s="113"/>
      <c r="AC1" s="113"/>
      <c r="AD1" s="113"/>
      <c r="AE1" s="113"/>
    </row>
    <row r="2" ht="108.0" customHeight="1">
      <c r="A2" s="196"/>
      <c r="B2" s="197" t="s">
        <v>118</v>
      </c>
      <c r="C2" s="197" t="s">
        <v>118</v>
      </c>
      <c r="D2" s="198"/>
      <c r="E2" s="199"/>
      <c r="F2" s="199"/>
      <c r="G2" s="199"/>
      <c r="H2" s="200"/>
      <c r="I2" s="201" t="s">
        <v>119</v>
      </c>
      <c r="J2" s="202" t="s">
        <v>120</v>
      </c>
      <c r="K2" s="202" t="s">
        <v>120</v>
      </c>
      <c r="L2" s="202" t="s">
        <v>121</v>
      </c>
      <c r="M2" s="202" t="s">
        <v>122</v>
      </c>
      <c r="N2" s="202" t="s">
        <v>123</v>
      </c>
      <c r="O2" s="202" t="s">
        <v>124</v>
      </c>
      <c r="P2" s="201" t="s">
        <v>125</v>
      </c>
      <c r="Q2" s="202" t="s">
        <v>126</v>
      </c>
      <c r="R2" s="203" t="s">
        <v>127</v>
      </c>
      <c r="S2" s="203" t="s">
        <v>127</v>
      </c>
      <c r="T2" s="203" t="s">
        <v>128</v>
      </c>
      <c r="U2" s="203" t="s">
        <v>129</v>
      </c>
      <c r="V2" s="203" t="s">
        <v>130</v>
      </c>
      <c r="W2" s="204" t="s">
        <v>131</v>
      </c>
      <c r="X2" s="205" t="s">
        <v>132</v>
      </c>
      <c r="Y2" s="15" t="s">
        <v>10</v>
      </c>
      <c r="Z2" s="113"/>
      <c r="AA2" s="113"/>
      <c r="AB2" s="113"/>
      <c r="AC2" s="113"/>
      <c r="AD2" s="113"/>
      <c r="AE2" s="113"/>
    </row>
    <row r="3" ht="177.75" customHeight="1">
      <c r="A3" s="206" t="s">
        <v>133</v>
      </c>
      <c r="B3" s="206" t="s">
        <v>134</v>
      </c>
      <c r="C3" s="207" t="s">
        <v>135</v>
      </c>
      <c r="D3" s="207" t="s">
        <v>136</v>
      </c>
      <c r="E3" s="206" t="s">
        <v>137</v>
      </c>
      <c r="F3" s="208" t="s">
        <v>138</v>
      </c>
      <c r="G3" s="208" t="s">
        <v>139</v>
      </c>
      <c r="H3" s="208" t="s">
        <v>140</v>
      </c>
      <c r="I3" s="208" t="s">
        <v>141</v>
      </c>
      <c r="J3" s="208" t="s">
        <v>142</v>
      </c>
      <c r="K3" s="206" t="s">
        <v>143</v>
      </c>
      <c r="L3" s="206" t="s">
        <v>143</v>
      </c>
      <c r="M3" s="206" t="s">
        <v>143</v>
      </c>
      <c r="N3" s="206"/>
      <c r="O3" s="206" t="s">
        <v>144</v>
      </c>
      <c r="P3" s="208" t="s">
        <v>145</v>
      </c>
      <c r="Q3" s="206" t="s">
        <v>146</v>
      </c>
      <c r="R3" s="208" t="s">
        <v>147</v>
      </c>
      <c r="S3" s="206" t="s">
        <v>148</v>
      </c>
      <c r="T3" s="206" t="s">
        <v>149</v>
      </c>
      <c r="U3" s="206" t="s">
        <v>150</v>
      </c>
      <c r="V3" s="208" t="s">
        <v>151</v>
      </c>
      <c r="W3" s="206"/>
      <c r="X3" s="209"/>
      <c r="Y3" s="15"/>
      <c r="Z3" s="113"/>
      <c r="AA3" s="113"/>
      <c r="AB3" s="113"/>
      <c r="AC3" s="113"/>
      <c r="AD3" s="113"/>
      <c r="AE3" s="113"/>
    </row>
    <row r="4">
      <c r="A4" s="40">
        <v>45292.0</v>
      </c>
      <c r="B4" s="210"/>
      <c r="C4" s="211"/>
      <c r="D4" s="212">
        <v>8965220.43</v>
      </c>
      <c r="E4" s="213">
        <v>108600.0</v>
      </c>
      <c r="F4" s="213"/>
      <c r="G4" s="213"/>
      <c r="H4" s="213"/>
      <c r="I4" s="214">
        <v>0.0</v>
      </c>
      <c r="J4" s="214">
        <v>0.0</v>
      </c>
      <c r="K4" s="215">
        <v>616212.53</v>
      </c>
      <c r="L4" s="215">
        <v>158494.52</v>
      </c>
      <c r="M4" s="216">
        <v>1018.08</v>
      </c>
      <c r="N4" s="216"/>
      <c r="O4" s="216">
        <v>144462.5</v>
      </c>
      <c r="P4" s="217"/>
      <c r="Q4" s="216">
        <v>0.0</v>
      </c>
      <c r="R4" s="218">
        <v>244458.17</v>
      </c>
      <c r="S4" s="219">
        <v>0.0</v>
      </c>
      <c r="T4" s="218">
        <v>799192.0</v>
      </c>
      <c r="U4" s="218">
        <v>35567.0</v>
      </c>
      <c r="V4" s="218">
        <v>47715.81</v>
      </c>
      <c r="W4" s="219">
        <v>0.0</v>
      </c>
      <c r="X4" s="218">
        <v>1490788.79</v>
      </c>
      <c r="Y4" s="15"/>
      <c r="Z4" s="113"/>
      <c r="AA4" s="113"/>
      <c r="AB4" s="113"/>
      <c r="AC4" s="113"/>
      <c r="AD4" s="113"/>
      <c r="AE4" s="113"/>
    </row>
    <row r="5">
      <c r="A5" s="40">
        <v>45323.0</v>
      </c>
      <c r="B5" s="210"/>
      <c r="C5" s="137">
        <v>2000000.0</v>
      </c>
      <c r="D5" s="220">
        <v>9105220.43</v>
      </c>
      <c r="E5" s="215">
        <v>108600.0</v>
      </c>
      <c r="F5" s="215"/>
      <c r="G5" s="215"/>
      <c r="H5" s="215"/>
      <c r="I5" s="214">
        <v>0.0</v>
      </c>
      <c r="J5" s="214">
        <v>0.0</v>
      </c>
      <c r="K5" s="215">
        <v>638321.03</v>
      </c>
      <c r="L5" s="215">
        <v>172628.84</v>
      </c>
      <c r="M5" s="216">
        <v>791.84</v>
      </c>
      <c r="N5" s="216"/>
      <c r="O5" s="216">
        <v>144462.5</v>
      </c>
      <c r="P5" s="216"/>
      <c r="Q5" s="155">
        <v>0.0</v>
      </c>
      <c r="R5" s="146">
        <v>244458.17</v>
      </c>
      <c r="S5" s="219">
        <v>0.0</v>
      </c>
      <c r="T5" s="218">
        <v>799192.0</v>
      </c>
      <c r="U5" s="218">
        <v>35567.0</v>
      </c>
      <c r="V5" s="218">
        <v>47715.81</v>
      </c>
      <c r="W5" s="219">
        <v>0.0</v>
      </c>
      <c r="X5" s="218">
        <v>1497071.29</v>
      </c>
      <c r="Y5" s="15"/>
      <c r="Z5" s="113"/>
      <c r="AA5" s="113"/>
      <c r="AB5" s="113"/>
      <c r="AC5" s="113"/>
      <c r="AD5" s="113"/>
      <c r="AE5" s="113"/>
    </row>
    <row r="6">
      <c r="A6" s="40">
        <v>45352.0</v>
      </c>
      <c r="B6" s="210"/>
      <c r="C6" s="221"/>
      <c r="D6" s="220">
        <v>9035220.43</v>
      </c>
      <c r="E6" s="215">
        <v>108600.0</v>
      </c>
      <c r="F6" s="215"/>
      <c r="G6" s="215"/>
      <c r="H6" s="215"/>
      <c r="I6" s="214">
        <v>0.0</v>
      </c>
      <c r="J6" s="214">
        <v>0.0</v>
      </c>
      <c r="K6" s="215">
        <v>817546.3</v>
      </c>
      <c r="L6" s="215">
        <v>157240.88</v>
      </c>
      <c r="M6" s="216">
        <v>678.72</v>
      </c>
      <c r="N6" s="216"/>
      <c r="O6" s="216">
        <v>144462.5</v>
      </c>
      <c r="P6" s="216"/>
      <c r="Q6" s="155">
        <v>0.0</v>
      </c>
      <c r="R6" s="146">
        <v>477719.94</v>
      </c>
      <c r="S6" s="218">
        <v>135456.64</v>
      </c>
      <c r="T6" s="218">
        <v>799192.0</v>
      </c>
      <c r="U6" s="218">
        <v>35567.0</v>
      </c>
      <c r="V6" s="218">
        <v>47715.81</v>
      </c>
      <c r="W6" s="222">
        <v>0.0</v>
      </c>
      <c r="X6" s="218">
        <v>1482010.27</v>
      </c>
      <c r="Y6" s="15"/>
      <c r="Z6" s="113"/>
      <c r="AA6" s="113"/>
      <c r="AB6" s="113"/>
      <c r="AC6" s="113"/>
      <c r="AD6" s="113"/>
      <c r="AE6" s="113"/>
    </row>
    <row r="7">
      <c r="A7" s="40">
        <v>45383.0</v>
      </c>
      <c r="B7" s="210"/>
      <c r="C7" s="223"/>
      <c r="D7" s="224">
        <v>9014228.84</v>
      </c>
      <c r="E7" s="137">
        <v>108600.0</v>
      </c>
      <c r="F7" s="137"/>
      <c r="G7" s="137"/>
      <c r="H7" s="137"/>
      <c r="I7" s="225">
        <v>0.0</v>
      </c>
      <c r="J7" s="225">
        <v>0.0</v>
      </c>
      <c r="K7" s="137">
        <v>786459.04</v>
      </c>
      <c r="L7" s="215">
        <v>166071.4</v>
      </c>
      <c r="M7" s="216">
        <v>848.4</v>
      </c>
      <c r="N7" s="216">
        <v>220.0</v>
      </c>
      <c r="O7" s="216">
        <v>144462.5</v>
      </c>
      <c r="P7" s="216"/>
      <c r="Q7" s="216">
        <v>0.0</v>
      </c>
      <c r="R7" s="218">
        <v>244458.17</v>
      </c>
      <c r="S7" s="219">
        <v>0.0</v>
      </c>
      <c r="T7" s="218">
        <v>799192.0</v>
      </c>
      <c r="U7" s="218">
        <v>35567.0</v>
      </c>
      <c r="V7" s="218">
        <v>47715.81</v>
      </c>
      <c r="W7" s="218">
        <v>236344.15</v>
      </c>
      <c r="X7" s="218">
        <v>1472860.3</v>
      </c>
      <c r="Y7" s="15"/>
      <c r="Z7" s="113"/>
      <c r="AA7" s="113"/>
      <c r="AB7" s="113"/>
      <c r="AC7" s="113"/>
      <c r="AD7" s="113"/>
      <c r="AE7" s="113"/>
    </row>
    <row r="8">
      <c r="A8" s="40">
        <v>45413.0</v>
      </c>
      <c r="B8" s="137">
        <v>3496623.0</v>
      </c>
      <c r="C8" s="224"/>
      <c r="D8" s="224">
        <v>9014228.84</v>
      </c>
      <c r="E8" s="216">
        <v>108600.0</v>
      </c>
      <c r="F8" s="139"/>
      <c r="G8" s="139"/>
      <c r="H8" s="139"/>
      <c r="I8" s="226">
        <v>0.0</v>
      </c>
      <c r="J8" s="226">
        <v>0.0</v>
      </c>
      <c r="K8" s="137">
        <v>687233.17</v>
      </c>
      <c r="L8" s="215">
        <v>165444.58</v>
      </c>
      <c r="M8" s="216">
        <v>904.96</v>
      </c>
      <c r="N8" s="216"/>
      <c r="O8" s="216">
        <v>144462.5</v>
      </c>
      <c r="P8" s="216"/>
      <c r="Q8" s="216">
        <v>0.0</v>
      </c>
      <c r="R8" s="218">
        <v>304458.17</v>
      </c>
      <c r="S8" s="219">
        <v>0.0</v>
      </c>
      <c r="T8" s="218">
        <v>799192.0</v>
      </c>
      <c r="U8" s="218">
        <v>35567.0</v>
      </c>
      <c r="V8" s="218">
        <v>47715.81</v>
      </c>
      <c r="W8" s="219">
        <v>0.0</v>
      </c>
      <c r="X8" s="146">
        <v>1503144.32</v>
      </c>
      <c r="Y8" s="15"/>
      <c r="Z8" s="113"/>
      <c r="AA8" s="113"/>
      <c r="AB8" s="113"/>
      <c r="AC8" s="113"/>
      <c r="AD8" s="113"/>
      <c r="AE8" s="113"/>
    </row>
    <row r="9">
      <c r="A9" s="40">
        <v>45444.0</v>
      </c>
      <c r="B9" s="137">
        <v>4500000.0</v>
      </c>
      <c r="C9" s="224"/>
      <c r="D9" s="224">
        <v>9014228.84</v>
      </c>
      <c r="E9" s="227">
        <v>108600.0</v>
      </c>
      <c r="F9" s="165">
        <v>30000.0</v>
      </c>
      <c r="G9" s="165"/>
      <c r="H9" s="165"/>
      <c r="I9" s="226">
        <v>0.0</v>
      </c>
      <c r="J9" s="226">
        <v>0.0</v>
      </c>
      <c r="K9" s="228"/>
      <c r="L9" s="229">
        <v>163323.06</v>
      </c>
      <c r="M9" s="155">
        <v>8993.04</v>
      </c>
      <c r="N9" s="216"/>
      <c r="O9" s="216">
        <v>144462.5</v>
      </c>
      <c r="P9" s="216"/>
      <c r="Q9" s="216">
        <v>0.0</v>
      </c>
      <c r="R9" s="218">
        <v>244458.17</v>
      </c>
      <c r="S9" s="219">
        <v>0.0</v>
      </c>
      <c r="T9" s="218">
        <v>799192.0</v>
      </c>
      <c r="U9" s="218">
        <v>35567.0</v>
      </c>
      <c r="V9" s="218">
        <v>47715.81</v>
      </c>
      <c r="W9" s="219">
        <v>0.0</v>
      </c>
      <c r="X9" s="218">
        <v>1487698.49</v>
      </c>
      <c r="Y9" s="15"/>
      <c r="Z9" s="113"/>
      <c r="AA9" s="113"/>
      <c r="AB9" s="113"/>
      <c r="AC9" s="113"/>
      <c r="AD9" s="113"/>
      <c r="AE9" s="113"/>
    </row>
    <row r="10">
      <c r="A10" s="40">
        <v>45474.0</v>
      </c>
      <c r="B10" s="137">
        <v>4184210.0</v>
      </c>
      <c r="C10" s="224"/>
      <c r="D10" s="224">
        <v>9014228.84</v>
      </c>
      <c r="E10" s="216">
        <v>543000.0</v>
      </c>
      <c r="F10" s="165">
        <v>30000.0</v>
      </c>
      <c r="G10" s="165"/>
      <c r="H10" s="165"/>
      <c r="I10" s="226">
        <v>0.0</v>
      </c>
      <c r="J10" s="226">
        <v>0.0</v>
      </c>
      <c r="K10" s="228"/>
      <c r="L10" s="155">
        <v>163573.32</v>
      </c>
      <c r="M10" s="155">
        <v>904.96</v>
      </c>
      <c r="N10" s="216"/>
      <c r="O10" s="216">
        <v>144462.5</v>
      </c>
      <c r="P10" s="216"/>
      <c r="Q10" s="216">
        <v>0.0</v>
      </c>
      <c r="R10" s="218">
        <v>244458.17</v>
      </c>
      <c r="S10" s="219">
        <v>0.0</v>
      </c>
      <c r="T10" s="218">
        <v>799192.0</v>
      </c>
      <c r="U10" s="218">
        <v>35567.0</v>
      </c>
      <c r="V10" s="218">
        <v>47715.81</v>
      </c>
      <c r="W10" s="219">
        <v>0.0</v>
      </c>
      <c r="X10" s="218">
        <v>1336124.44</v>
      </c>
      <c r="Y10" s="15"/>
      <c r="Z10" s="113"/>
      <c r="AA10" s="113"/>
      <c r="AB10" s="113"/>
      <c r="AC10" s="113"/>
      <c r="AD10" s="113"/>
      <c r="AE10" s="113"/>
    </row>
    <row r="11">
      <c r="A11" s="40">
        <v>45505.0</v>
      </c>
      <c r="B11" s="107"/>
      <c r="C11" s="230"/>
      <c r="D11" s="224">
        <v>9122828.84</v>
      </c>
      <c r="E11" s="231"/>
      <c r="F11" s="165">
        <v>30000.0</v>
      </c>
      <c r="G11" s="165"/>
      <c r="H11" s="165"/>
      <c r="I11" s="232">
        <v>0.0</v>
      </c>
      <c r="J11" s="232">
        <v>0.0</v>
      </c>
      <c r="K11" s="233"/>
      <c r="L11" s="214">
        <v>169604.98</v>
      </c>
      <c r="M11" s="217">
        <v>1640.24</v>
      </c>
      <c r="N11" s="216"/>
      <c r="O11" s="216">
        <v>144462.5</v>
      </c>
      <c r="P11" s="216"/>
      <c r="Q11" s="216">
        <v>0.0</v>
      </c>
      <c r="R11" s="218">
        <v>244458.17</v>
      </c>
      <c r="S11" s="219">
        <v>0.0</v>
      </c>
      <c r="T11" s="218">
        <v>799192.0</v>
      </c>
      <c r="U11" s="218">
        <v>35567.0</v>
      </c>
      <c r="V11" s="218">
        <v>47715.81</v>
      </c>
      <c r="W11" s="146">
        <v>236344.15</v>
      </c>
      <c r="X11" s="218">
        <v>1316929.55</v>
      </c>
      <c r="Y11" s="15"/>
      <c r="Z11" s="113"/>
      <c r="AA11" s="113"/>
      <c r="AB11" s="113"/>
      <c r="AC11" s="113"/>
      <c r="AD11" s="113"/>
      <c r="AE11" s="113"/>
    </row>
    <row r="12" ht="15.75" customHeight="1">
      <c r="A12" s="40">
        <v>45536.0</v>
      </c>
      <c r="B12" s="210"/>
      <c r="C12" s="223"/>
      <c r="D12" s="234">
        <v>9248778.42</v>
      </c>
      <c r="E12" s="231"/>
      <c r="F12" s="165">
        <v>30000.0</v>
      </c>
      <c r="G12" s="165"/>
      <c r="H12" s="165"/>
      <c r="I12" s="232">
        <v>0.0</v>
      </c>
      <c r="J12" s="232">
        <v>0.0</v>
      </c>
      <c r="K12" s="235">
        <v>393571.03</v>
      </c>
      <c r="L12" s="214">
        <v>152605.22</v>
      </c>
      <c r="M12" s="217">
        <v>1244.32</v>
      </c>
      <c r="N12" s="216"/>
      <c r="O12" s="217">
        <v>144462.5</v>
      </c>
      <c r="P12" s="217"/>
      <c r="Q12" s="217">
        <v>0.0</v>
      </c>
      <c r="R12" s="218">
        <v>244458.17</v>
      </c>
      <c r="S12" s="219">
        <v>0.0</v>
      </c>
      <c r="T12" s="218">
        <v>799192.0</v>
      </c>
      <c r="U12" s="218">
        <v>35567.0</v>
      </c>
      <c r="V12" s="218">
        <v>47715.81</v>
      </c>
      <c r="W12" s="219">
        <v>0.0</v>
      </c>
      <c r="X12" s="218">
        <v>1283868.75</v>
      </c>
      <c r="Y12" s="15"/>
      <c r="Z12" s="113"/>
      <c r="AA12" s="113"/>
      <c r="AB12" s="113"/>
      <c r="AC12" s="113"/>
      <c r="AD12" s="113"/>
      <c r="AE12" s="113"/>
    </row>
    <row r="13" ht="15.75" customHeight="1">
      <c r="A13" s="40">
        <v>45566.0</v>
      </c>
      <c r="B13" s="210"/>
      <c r="C13" s="223"/>
      <c r="D13" s="234">
        <v>8943820.43</v>
      </c>
      <c r="E13" s="236"/>
      <c r="F13" s="165">
        <v>30000.0</v>
      </c>
      <c r="G13" s="165"/>
      <c r="H13" s="165"/>
      <c r="I13" s="237">
        <v>0.0</v>
      </c>
      <c r="J13" s="237">
        <v>0.0</v>
      </c>
      <c r="K13" s="214">
        <v>6139.06</v>
      </c>
      <c r="L13" s="214">
        <v>174709.04</v>
      </c>
      <c r="M13" s="217">
        <v>10520.16</v>
      </c>
      <c r="N13" s="216"/>
      <c r="O13" s="217">
        <v>144462.5</v>
      </c>
      <c r="P13" s="217"/>
      <c r="Q13" s="217">
        <v>0.0</v>
      </c>
      <c r="R13" s="218">
        <v>244458.17</v>
      </c>
      <c r="S13" s="219">
        <v>0.0</v>
      </c>
      <c r="T13" s="218">
        <v>799192.0</v>
      </c>
      <c r="U13" s="218">
        <v>35567.0</v>
      </c>
      <c r="V13" s="218">
        <v>47715.81</v>
      </c>
      <c r="W13" s="219">
        <v>0.0</v>
      </c>
      <c r="X13" s="219">
        <v>1287245.03</v>
      </c>
      <c r="Y13" s="15"/>
      <c r="Z13" s="113"/>
      <c r="AA13" s="113"/>
      <c r="AB13" s="113"/>
      <c r="AC13" s="113"/>
      <c r="AD13" s="113"/>
      <c r="AE13" s="113"/>
    </row>
    <row r="14" ht="15.75" customHeight="1">
      <c r="A14" s="40">
        <v>45597.0</v>
      </c>
      <c r="B14" s="210"/>
      <c r="C14" s="223"/>
      <c r="D14" s="234">
        <v>9170279.33</v>
      </c>
      <c r="E14" s="236"/>
      <c r="F14" s="238"/>
      <c r="G14" s="214"/>
      <c r="H14" s="214">
        <v>9851.03</v>
      </c>
      <c r="I14" s="214">
        <v>0.0</v>
      </c>
      <c r="J14" s="214">
        <v>0.0</v>
      </c>
      <c r="K14" s="236"/>
      <c r="L14" s="214"/>
      <c r="M14" s="217">
        <v>9106.16</v>
      </c>
      <c r="N14" s="218"/>
      <c r="O14" s="219">
        <v>144462.5</v>
      </c>
      <c r="P14" s="219"/>
      <c r="Q14" s="219">
        <v>0.0</v>
      </c>
      <c r="R14" s="219">
        <v>244458.17</v>
      </c>
      <c r="S14" s="219">
        <v>0.0</v>
      </c>
      <c r="T14" s="219">
        <v>799192.0</v>
      </c>
      <c r="U14" s="219">
        <v>35567.0</v>
      </c>
      <c r="V14" s="219">
        <v>47715.81</v>
      </c>
      <c r="W14" s="219">
        <v>0.0</v>
      </c>
      <c r="X14" s="239">
        <v>1282769.75</v>
      </c>
      <c r="Y14" s="15"/>
      <c r="Z14" s="113"/>
      <c r="AA14" s="113"/>
      <c r="AB14" s="113"/>
      <c r="AC14" s="113"/>
      <c r="AD14" s="113"/>
      <c r="AE14" s="113"/>
    </row>
    <row r="15" ht="15.75" customHeight="1">
      <c r="A15" s="40">
        <v>45627.0</v>
      </c>
      <c r="B15" s="137">
        <v>200000.0</v>
      </c>
      <c r="C15" s="223"/>
      <c r="D15" s="234">
        <v>9170279.33</v>
      </c>
      <c r="E15" s="215"/>
      <c r="F15" s="215"/>
      <c r="G15" s="214">
        <v>1859603.2</v>
      </c>
      <c r="H15" s="214">
        <v>9851.03</v>
      </c>
      <c r="I15" s="214">
        <v>1859603.2</v>
      </c>
      <c r="J15" s="214">
        <v>1072810.54</v>
      </c>
      <c r="K15" s="238"/>
      <c r="L15" s="214"/>
      <c r="M15" s="216"/>
      <c r="N15" s="218"/>
      <c r="O15" s="219">
        <v>144462.5</v>
      </c>
      <c r="P15" s="219">
        <v>82670.59</v>
      </c>
      <c r="Q15" s="219">
        <v>528029.65</v>
      </c>
      <c r="R15" s="240">
        <v>14897.42</v>
      </c>
      <c r="S15" s="219">
        <v>0.0</v>
      </c>
      <c r="T15" s="219">
        <v>1598384.0</v>
      </c>
      <c r="U15" s="219">
        <v>35567.0</v>
      </c>
      <c r="V15" s="219">
        <v>411356.85</v>
      </c>
      <c r="W15" s="219">
        <v>0.0</v>
      </c>
      <c r="X15" s="241">
        <v>2559519.81</v>
      </c>
      <c r="Y15" s="242"/>
      <c r="Z15" s="113"/>
      <c r="AA15" s="113"/>
      <c r="AB15" s="113"/>
      <c r="AC15" s="113"/>
      <c r="AD15" s="113"/>
      <c r="AE15" s="113"/>
    </row>
    <row r="16" ht="15.75" customHeight="1">
      <c r="A16" s="243" t="s">
        <v>10</v>
      </c>
      <c r="B16" s="179">
        <f t="shared" ref="B16:M16" si="1">SUM(B4,B5,B6,B7,B8,B9,B10,B11,B12,B13,B14,B15)</f>
        <v>12380833</v>
      </c>
      <c r="C16" s="179">
        <f t="shared" si="1"/>
        <v>2000000</v>
      </c>
      <c r="D16" s="179">
        <f t="shared" si="1"/>
        <v>108818563</v>
      </c>
      <c r="E16" s="244">
        <f t="shared" si="1"/>
        <v>1194600</v>
      </c>
      <c r="F16" s="244">
        <f t="shared" si="1"/>
        <v>150000</v>
      </c>
      <c r="G16" s="244">
        <f t="shared" si="1"/>
        <v>1859603.2</v>
      </c>
      <c r="H16" s="244">
        <f t="shared" si="1"/>
        <v>19702.06</v>
      </c>
      <c r="I16" s="178">
        <f t="shared" si="1"/>
        <v>1859603.2</v>
      </c>
      <c r="J16" s="178">
        <f t="shared" si="1"/>
        <v>1072810.54</v>
      </c>
      <c r="K16" s="178">
        <f t="shared" si="1"/>
        <v>3945482.16</v>
      </c>
      <c r="L16" s="178">
        <f t="shared" si="1"/>
        <v>1643695.84</v>
      </c>
      <c r="M16" s="245">
        <f t="shared" si="1"/>
        <v>36650.88</v>
      </c>
      <c r="N16" s="245">
        <f>SUM(N7)</f>
        <v>220</v>
      </c>
      <c r="O16" s="245">
        <f t="shared" ref="O16:X16" si="2">SUM(O4,O5,O6,O7,O8,O9,O10,O11,O12,O13,O14,O15)</f>
        <v>1733550</v>
      </c>
      <c r="P16" s="245">
        <f t="shared" si="2"/>
        <v>82670.59</v>
      </c>
      <c r="Q16" s="245">
        <f t="shared" si="2"/>
        <v>528029.65</v>
      </c>
      <c r="R16" s="245">
        <f t="shared" si="2"/>
        <v>2997199.06</v>
      </c>
      <c r="S16" s="245">
        <f t="shared" si="2"/>
        <v>135456.64</v>
      </c>
      <c r="T16" s="245">
        <f t="shared" si="2"/>
        <v>10389496</v>
      </c>
      <c r="U16" s="245">
        <f t="shared" si="2"/>
        <v>426804</v>
      </c>
      <c r="V16" s="179">
        <f t="shared" si="2"/>
        <v>936230.76</v>
      </c>
      <c r="W16" s="179">
        <f t="shared" si="2"/>
        <v>472688.3</v>
      </c>
      <c r="X16" s="246">
        <f t="shared" si="2"/>
        <v>18000030.79</v>
      </c>
      <c r="Y16" s="247">
        <f>SUM(B16:X16)</f>
        <v>170683919.7</v>
      </c>
      <c r="Z16" s="113"/>
      <c r="AA16" s="113"/>
      <c r="AB16" s="113"/>
      <c r="AC16" s="113"/>
      <c r="AD16" s="113"/>
      <c r="AE16" s="113"/>
    </row>
    <row r="17" ht="15.75" customHeight="1">
      <c r="A17" s="190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248"/>
      <c r="S17" s="113"/>
      <c r="T17" s="113"/>
      <c r="U17" s="113"/>
      <c r="V17" s="249"/>
      <c r="W17" s="249"/>
      <c r="X17" s="113"/>
      <c r="Y17" s="113"/>
      <c r="Z17" s="113"/>
      <c r="AA17" s="113"/>
      <c r="AB17" s="113"/>
      <c r="AC17" s="113"/>
      <c r="AD17" s="113"/>
      <c r="AE17" s="113"/>
    </row>
    <row r="18" ht="15.75" customHeight="1">
      <c r="A18" s="250" t="s">
        <v>152</v>
      </c>
      <c r="B18" s="113"/>
      <c r="C18" s="113"/>
      <c r="D18" s="113"/>
      <c r="E18" s="113"/>
      <c r="F18" s="113"/>
      <c r="G18" s="113"/>
      <c r="H18" s="113"/>
      <c r="I18" s="251"/>
      <c r="J18" s="251"/>
      <c r="K18" s="251"/>
      <c r="L18" s="113"/>
      <c r="M18" s="113"/>
      <c r="N18" s="113"/>
      <c r="O18" s="113"/>
      <c r="P18" s="113"/>
      <c r="Q18" s="113"/>
      <c r="R18" s="248"/>
      <c r="S18" s="113"/>
      <c r="T18" s="113"/>
      <c r="U18" s="113"/>
      <c r="V18" s="249"/>
      <c r="W18" s="249"/>
      <c r="X18" s="113"/>
      <c r="Y18" s="113"/>
      <c r="Z18" s="113"/>
      <c r="AA18" s="113"/>
      <c r="AB18" s="113"/>
      <c r="AC18" s="113"/>
      <c r="AD18" s="113"/>
      <c r="AE18" s="113"/>
    </row>
    <row r="19" ht="15.75" customHeight="1">
      <c r="A19" s="252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249"/>
      <c r="W19" s="249"/>
      <c r="X19" s="113"/>
      <c r="Y19" s="113"/>
      <c r="Z19" s="113"/>
      <c r="AA19" s="113"/>
      <c r="AB19" s="113"/>
      <c r="AC19" s="113"/>
      <c r="AD19" s="113"/>
      <c r="AE19" s="113"/>
    </row>
    <row r="20" ht="15.75" customHeight="1">
      <c r="A20" s="252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253"/>
      <c r="S20" s="254"/>
      <c r="T20" s="113"/>
      <c r="U20" s="113"/>
      <c r="V20" s="249"/>
      <c r="W20" s="249"/>
      <c r="X20" s="113"/>
      <c r="Y20" s="113"/>
      <c r="Z20" s="113"/>
      <c r="AA20" s="113"/>
      <c r="AB20" s="113"/>
      <c r="AC20" s="113"/>
      <c r="AD20" s="113"/>
      <c r="AE20" s="113"/>
    </row>
    <row r="21" ht="15.75" customHeight="1">
      <c r="A21" s="252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255"/>
      <c r="S21" s="256"/>
      <c r="T21" s="113"/>
      <c r="U21" s="113"/>
      <c r="V21" s="249"/>
      <c r="W21" s="249"/>
      <c r="X21" s="257"/>
      <c r="Y21" s="113"/>
      <c r="Z21" s="113"/>
      <c r="AA21" s="113"/>
      <c r="AB21" s="113"/>
      <c r="AC21" s="113"/>
      <c r="AD21" s="113"/>
      <c r="AE21" s="113"/>
    </row>
    <row r="22" ht="15.75" customHeight="1">
      <c r="A22" s="252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249"/>
      <c r="W22" s="249"/>
      <c r="X22" s="258"/>
      <c r="Y22" s="113"/>
      <c r="Z22" s="113"/>
      <c r="AA22" s="113"/>
      <c r="AB22" s="113"/>
      <c r="AC22" s="113"/>
      <c r="AD22" s="113"/>
      <c r="AE22" s="113"/>
    </row>
    <row r="23" ht="15.75" customHeight="1">
      <c r="A23" s="252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249"/>
      <c r="W23" s="249"/>
      <c r="X23" s="189"/>
      <c r="Y23" s="113"/>
      <c r="Z23" s="113"/>
      <c r="AA23" s="113"/>
      <c r="AB23" s="113"/>
      <c r="AC23" s="113"/>
      <c r="AD23" s="113"/>
      <c r="AE23" s="113"/>
    </row>
    <row r="24" ht="15.75" customHeight="1">
      <c r="A24" s="252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249"/>
      <c r="W24" s="249"/>
      <c r="X24" s="113"/>
      <c r="Y24" s="113"/>
      <c r="Z24" s="113"/>
      <c r="AA24" s="113"/>
      <c r="AB24" s="113"/>
      <c r="AC24" s="113"/>
      <c r="AD24" s="113"/>
      <c r="AE24" s="113"/>
    </row>
    <row r="25" ht="15.75" customHeight="1">
      <c r="A25" s="252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249"/>
      <c r="W25" s="249"/>
      <c r="X25" s="113"/>
      <c r="Y25" s="113"/>
      <c r="Z25" s="113"/>
      <c r="AA25" s="113"/>
      <c r="AB25" s="113"/>
      <c r="AC25" s="113"/>
      <c r="AD25" s="113"/>
      <c r="AE25" s="113"/>
    </row>
    <row r="26" ht="15.75" customHeight="1">
      <c r="A26" s="252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249"/>
      <c r="W26" s="249"/>
      <c r="X26" s="113"/>
      <c r="Y26" s="113"/>
      <c r="Z26" s="113"/>
      <c r="AA26" s="113"/>
      <c r="AB26" s="113"/>
      <c r="AC26" s="113"/>
      <c r="AD26" s="113"/>
      <c r="AE26" s="113"/>
    </row>
    <row r="27" ht="15.75" customHeight="1">
      <c r="A27" s="252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249"/>
      <c r="W27" s="249"/>
      <c r="X27" s="113"/>
      <c r="Y27" s="113"/>
      <c r="Z27" s="113"/>
      <c r="AA27" s="113"/>
      <c r="AB27" s="113"/>
      <c r="AC27" s="113"/>
      <c r="AD27" s="113"/>
      <c r="AE27" s="113"/>
    </row>
    <row r="28" ht="15.75" customHeight="1">
      <c r="A28" s="252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249"/>
      <c r="W28" s="249"/>
      <c r="X28" s="113"/>
      <c r="Y28" s="113"/>
      <c r="Z28" s="113"/>
      <c r="AA28" s="113"/>
      <c r="AB28" s="113"/>
      <c r="AC28" s="113"/>
      <c r="AD28" s="113"/>
      <c r="AE28" s="113"/>
    </row>
    <row r="29" ht="15.75" customHeight="1">
      <c r="A29" s="252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249"/>
      <c r="W29" s="249"/>
      <c r="X29" s="113"/>
      <c r="Y29" s="113"/>
      <c r="Z29" s="113"/>
      <c r="AA29" s="113"/>
      <c r="AB29" s="113"/>
      <c r="AC29" s="113"/>
      <c r="AD29" s="113"/>
      <c r="AE29" s="113"/>
    </row>
    <row r="30" ht="15.75" customHeight="1">
      <c r="A30" s="252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249"/>
      <c r="W30" s="249"/>
      <c r="X30" s="113"/>
      <c r="Y30" s="113"/>
      <c r="Z30" s="113"/>
      <c r="AA30" s="113"/>
      <c r="AB30" s="113"/>
      <c r="AC30" s="113"/>
      <c r="AD30" s="113"/>
      <c r="AE30" s="113"/>
    </row>
    <row r="31" ht="15.75" customHeight="1">
      <c r="A31" s="259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249"/>
      <c r="W31" s="249"/>
      <c r="X31" s="113"/>
      <c r="Y31" s="113"/>
      <c r="Z31" s="113"/>
      <c r="AA31" s="113"/>
      <c r="AB31" s="113"/>
      <c r="AC31" s="113"/>
      <c r="AD31" s="113"/>
      <c r="AE31" s="113"/>
    </row>
    <row r="32" ht="15.75" customHeight="1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</row>
    <row r="33" ht="15.75" customHeight="1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</row>
    <row r="34" ht="15.75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</row>
    <row r="35" ht="15.7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</row>
    <row r="36" ht="15.7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</row>
    <row r="37" ht="15.75" customHeight="1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  <c r="AE37" s="113"/>
    </row>
    <row r="38" ht="15.75" customHeight="1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  <c r="AE38" s="113"/>
    </row>
    <row r="39" ht="15.75" customHeight="1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</row>
    <row r="40" ht="15.75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  <c r="AE40" s="113"/>
    </row>
    <row r="41" ht="15.75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</row>
    <row r="42" ht="15.7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  <c r="AE42" s="113"/>
    </row>
    <row r="43" ht="15.7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</row>
    <row r="44" ht="15.7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</row>
    <row r="45" ht="15.7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</row>
    <row r="46" ht="15.7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</row>
    <row r="47" ht="15.7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  <c r="AE47" s="113"/>
    </row>
    <row r="48" ht="15.75" customHeight="1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113"/>
    </row>
    <row r="49" ht="15.7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  <c r="AE49" s="113"/>
    </row>
    <row r="50" ht="15.7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  <c r="AE50" s="113"/>
    </row>
    <row r="51" ht="15.7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113"/>
    </row>
    <row r="52" ht="15.7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113"/>
    </row>
    <row r="53" ht="15.7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  <c r="AE53" s="113"/>
    </row>
    <row r="54" ht="15.75" customHeight="1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</row>
    <row r="55" ht="15.7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</row>
    <row r="56" ht="15.75" customHeight="1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</row>
    <row r="57" ht="15.7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</row>
    <row r="58" ht="15.7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  <c r="AE58" s="113"/>
    </row>
    <row r="59" ht="15.75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</row>
    <row r="60" ht="15.75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113"/>
    </row>
    <row r="61" ht="15.75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113"/>
    </row>
    <row r="62" ht="15.75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  <c r="AE62" s="113"/>
    </row>
    <row r="63" ht="15.75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113"/>
    </row>
    <row r="64" ht="15.75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  <c r="AE64" s="113"/>
    </row>
    <row r="65" ht="15.75" customHeight="1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113"/>
    </row>
    <row r="66" ht="15.75" customHeight="1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113"/>
    </row>
    <row r="67" ht="15.7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113"/>
    </row>
    <row r="68" ht="15.75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113"/>
    </row>
    <row r="69" ht="15.75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</row>
    <row r="70" ht="15.75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113"/>
    </row>
    <row r="71" ht="15.75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3"/>
    </row>
    <row r="72" ht="15.75" customHeight="1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  <c r="AE72" s="113"/>
    </row>
    <row r="73" ht="15.75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</row>
    <row r="74" ht="15.75" customHeight="1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  <c r="AE74" s="113"/>
    </row>
    <row r="75" ht="15.75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  <c r="AE75" s="113"/>
    </row>
    <row r="76" ht="15.75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  <c r="AE76" s="113"/>
    </row>
    <row r="77" ht="15.75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</row>
    <row r="78" ht="15.75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  <c r="AE78" s="113"/>
    </row>
    <row r="79" ht="15.75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</row>
    <row r="80" ht="15.7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  <c r="AE80" s="113"/>
    </row>
    <row r="81" ht="15.7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</row>
    <row r="82" ht="15.7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  <c r="AE82" s="113"/>
    </row>
    <row r="83" ht="15.75" customHeight="1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</row>
    <row r="84" ht="15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  <c r="AE84" s="113"/>
    </row>
    <row r="85" ht="15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  <c r="AE85" s="113"/>
    </row>
    <row r="86" ht="15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  <c r="AE86" s="113"/>
    </row>
    <row r="87" ht="15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  <c r="AE87" s="113"/>
    </row>
    <row r="88" ht="15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  <c r="AE88" s="113"/>
    </row>
    <row r="89" ht="15.75" customHeight="1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</row>
    <row r="90" ht="15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  <c r="AE90" s="113"/>
    </row>
    <row r="91" ht="15.75" customHeight="1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113"/>
    </row>
    <row r="92" ht="15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113"/>
    </row>
    <row r="93" ht="15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113"/>
    </row>
    <row r="94" ht="15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113"/>
    </row>
    <row r="95" ht="15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  <c r="AE95" s="113"/>
    </row>
    <row r="96" ht="15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  <c r="AE96" s="113"/>
    </row>
    <row r="97" ht="15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  <c r="AE97" s="113"/>
    </row>
    <row r="98" ht="15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  <c r="AE98" s="113"/>
    </row>
    <row r="99" ht="15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  <c r="AE99" s="113"/>
    </row>
    <row r="100" ht="15.75" customHeight="1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  <c r="AE100" s="113"/>
    </row>
    <row r="101" ht="15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  <c r="AE101" s="113"/>
    </row>
    <row r="102" ht="15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  <c r="AE102" s="113"/>
    </row>
    <row r="103" ht="15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  <c r="AE103" s="113"/>
    </row>
    <row r="104" ht="15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113"/>
    </row>
    <row r="105" ht="15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  <c r="AE105" s="113"/>
    </row>
    <row r="106" ht="15.75" customHeight="1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  <c r="AE106" s="113"/>
    </row>
    <row r="107" ht="15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  <c r="AE107" s="113"/>
    </row>
    <row r="108" ht="15.75" customHeight="1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  <c r="AE108" s="113"/>
    </row>
    <row r="109" ht="15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  <c r="AE109" s="113"/>
    </row>
    <row r="110" ht="15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  <c r="AE110" s="113"/>
    </row>
    <row r="111" ht="15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  <c r="AE111" s="113"/>
    </row>
    <row r="112" ht="15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  <c r="AE112" s="113"/>
    </row>
    <row r="113" ht="15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  <c r="AE113" s="113"/>
    </row>
    <row r="114" ht="15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  <c r="AE114" s="113"/>
    </row>
    <row r="115" ht="15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  <c r="AE115" s="113"/>
    </row>
    <row r="116" ht="15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  <c r="AE116" s="113"/>
    </row>
    <row r="117" ht="15.75" customHeight="1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  <c r="AE117" s="113"/>
    </row>
    <row r="118" ht="15.75" customHeight="1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  <c r="AE118" s="113"/>
    </row>
    <row r="119" ht="15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  <c r="AE119" s="113"/>
    </row>
    <row r="120" ht="15.7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  <c r="AE120" s="113"/>
    </row>
    <row r="121" ht="15.7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  <c r="AE121" s="113"/>
    </row>
    <row r="122" ht="15.7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  <c r="AE122" s="113"/>
    </row>
    <row r="123" ht="15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  <c r="AE123" s="113"/>
    </row>
    <row r="124" ht="15.75" customHeight="1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  <c r="AE124" s="113"/>
    </row>
    <row r="125" ht="15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  <c r="AE125" s="113"/>
    </row>
    <row r="126" ht="15.75" customHeight="1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  <c r="AE126" s="113"/>
    </row>
    <row r="127" ht="15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  <c r="AE127" s="113"/>
    </row>
    <row r="128" ht="15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  <c r="AE128" s="113"/>
    </row>
    <row r="129" ht="15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  <c r="AE129" s="113"/>
    </row>
    <row r="130" ht="15.7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  <c r="AE130" s="113"/>
    </row>
    <row r="131" ht="15.7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  <c r="AE131" s="113"/>
    </row>
    <row r="132" ht="15.7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  <c r="AE132" s="113"/>
    </row>
    <row r="133" ht="15.7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  <c r="AE133" s="113"/>
    </row>
    <row r="134" ht="15.7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  <c r="AE134" s="113"/>
    </row>
    <row r="135" ht="15.75" customHeight="1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  <c r="AE135" s="113"/>
    </row>
    <row r="136" ht="15.7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</row>
    <row r="137" ht="15.7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  <c r="AE137" s="113"/>
    </row>
    <row r="138" ht="15.7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</row>
    <row r="139" ht="15.7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  <c r="AE139" s="113"/>
    </row>
    <row r="140" ht="15.7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  <c r="AE140" s="113"/>
    </row>
    <row r="141" ht="15.75" customHeight="1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  <c r="AE141" s="113"/>
    </row>
    <row r="142" ht="15.7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  <c r="AE142" s="113"/>
    </row>
    <row r="143" ht="15.75" customHeight="1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  <c r="AE143" s="113"/>
    </row>
    <row r="144" ht="15.7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  <c r="AE144" s="113"/>
    </row>
    <row r="145" ht="15.7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  <c r="AE145" s="113"/>
    </row>
    <row r="146" ht="15.7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  <c r="AE146" s="113"/>
    </row>
    <row r="147" ht="15.7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  <c r="AE147" s="113"/>
    </row>
    <row r="148" ht="15.7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  <c r="AE148" s="113"/>
    </row>
    <row r="149" ht="15.7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  <c r="AE149" s="113"/>
    </row>
    <row r="150" ht="15.7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  <c r="AE150" s="113"/>
    </row>
    <row r="151" ht="15.7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  <c r="AE151" s="113"/>
    </row>
    <row r="152" ht="15.75" customHeight="1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  <c r="AE152" s="113"/>
    </row>
    <row r="153" ht="15.7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  <c r="AE153" s="113"/>
    </row>
    <row r="154" ht="15.7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  <c r="AE154" s="113"/>
    </row>
    <row r="155" ht="15.7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  <c r="AE155" s="113"/>
    </row>
    <row r="156" ht="15.7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  <c r="AE156" s="113"/>
    </row>
    <row r="157" ht="15.7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  <c r="AE157" s="113"/>
    </row>
    <row r="158" ht="15.75" customHeight="1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  <c r="AE158" s="113"/>
    </row>
    <row r="159" ht="15.7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  <c r="AE159" s="113"/>
    </row>
    <row r="160" ht="15.75" customHeight="1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  <c r="AE160" s="113"/>
    </row>
    <row r="161" ht="15.7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  <c r="AE161" s="113"/>
    </row>
    <row r="162" ht="15.7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  <c r="AE162" s="113"/>
    </row>
    <row r="163" ht="15.7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  <c r="AE163" s="113"/>
    </row>
    <row r="164" ht="15.7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  <c r="AE164" s="113"/>
    </row>
    <row r="165" ht="15.7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  <c r="AE165" s="113"/>
    </row>
    <row r="166" ht="15.7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  <c r="AE166" s="113"/>
    </row>
    <row r="167" ht="15.7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  <c r="AE167" s="113"/>
    </row>
    <row r="168" ht="15.7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  <c r="AE168" s="113"/>
    </row>
    <row r="169" ht="15.75" customHeight="1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</row>
    <row r="170" ht="15.7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  <c r="AE170" s="113"/>
    </row>
    <row r="171" ht="15.7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  <c r="AE171" s="113"/>
    </row>
    <row r="172" ht="15.75" customHeight="1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  <c r="AE172" s="113"/>
    </row>
    <row r="173" ht="15.7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  <c r="AE173" s="113"/>
    </row>
    <row r="174" ht="15.7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  <c r="AE174" s="113"/>
    </row>
    <row r="175" ht="15.7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  <c r="AE175" s="113"/>
    </row>
    <row r="176" ht="15.7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  <c r="AE176" s="113"/>
    </row>
    <row r="177" ht="15.7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  <c r="AE177" s="113"/>
    </row>
    <row r="178" ht="15.75" customHeight="1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  <c r="AE178" s="113"/>
    </row>
    <row r="179" ht="15.7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  <c r="AE179" s="113"/>
    </row>
    <row r="180" ht="15.75" customHeight="1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  <c r="AE180" s="113"/>
    </row>
    <row r="181" ht="15.7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  <c r="AE181" s="113"/>
    </row>
    <row r="182" ht="15.7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  <c r="AE182" s="113"/>
    </row>
    <row r="183" ht="15.7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  <c r="AE183" s="113"/>
    </row>
    <row r="184" ht="15.7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  <c r="AE184" s="113"/>
    </row>
    <row r="185" ht="15.7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  <c r="AE185" s="113"/>
    </row>
    <row r="186" ht="15.7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  <c r="AE186" s="113"/>
    </row>
    <row r="187" ht="15.7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  <c r="AE187" s="113"/>
    </row>
    <row r="188" ht="15.7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</row>
    <row r="189" ht="15.7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  <c r="AE189" s="113"/>
    </row>
    <row r="190" ht="15.7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  <c r="AE190" s="113"/>
    </row>
    <row r="191" ht="15.7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  <c r="AE191" s="113"/>
    </row>
    <row r="192" ht="15.7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  <c r="AE192" s="113"/>
    </row>
    <row r="193" ht="15.75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  <c r="AE193" s="113"/>
    </row>
    <row r="194" ht="15.75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  <c r="AE194" s="113"/>
    </row>
    <row r="195" ht="15.75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  <c r="AE195" s="113"/>
    </row>
    <row r="196" ht="15.75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</row>
    <row r="197" ht="15.75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  <c r="AC197" s="113"/>
      <c r="AD197" s="113"/>
      <c r="AE197" s="113"/>
    </row>
    <row r="198" ht="15.75" customHeight="1">
      <c r="A198" s="113"/>
      <c r="B198" s="113"/>
      <c r="C198" s="113"/>
      <c r="D198" s="113"/>
      <c r="E198" s="113"/>
      <c r="F198" s="113"/>
      <c r="G198" s="113"/>
      <c r="H198" s="113"/>
      <c r="I198" s="113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  <c r="AC198" s="113"/>
      <c r="AD198" s="113"/>
      <c r="AE198" s="113"/>
    </row>
    <row r="199" ht="15.75" customHeight="1">
      <c r="A199" s="113"/>
      <c r="B199" s="113"/>
      <c r="C199" s="113"/>
      <c r="D199" s="113"/>
      <c r="E199" s="113"/>
      <c r="F199" s="113"/>
      <c r="G199" s="113"/>
      <c r="H199" s="113"/>
      <c r="I199" s="113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  <c r="AC199" s="113"/>
      <c r="AD199" s="113"/>
      <c r="AE199" s="113"/>
    </row>
    <row r="200" ht="15.75" customHeight="1">
      <c r="A200" s="113"/>
      <c r="B200" s="113"/>
      <c r="C200" s="113"/>
      <c r="D200" s="113"/>
      <c r="E200" s="113"/>
      <c r="F200" s="113"/>
      <c r="G200" s="113"/>
      <c r="H200" s="113"/>
      <c r="I200" s="113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  <c r="AC200" s="113"/>
      <c r="AD200" s="113"/>
      <c r="AE200" s="113"/>
    </row>
    <row r="201" ht="15.75" customHeight="1">
      <c r="A201" s="113"/>
      <c r="B201" s="113"/>
      <c r="C201" s="113"/>
      <c r="D201" s="113"/>
      <c r="E201" s="113"/>
      <c r="F201" s="113"/>
      <c r="G201" s="113"/>
      <c r="H201" s="113"/>
      <c r="I201" s="113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  <c r="AC201" s="113"/>
      <c r="AD201" s="113"/>
      <c r="AE201" s="113"/>
    </row>
    <row r="202" ht="15.75" customHeight="1">
      <c r="A202" s="113"/>
      <c r="B202" s="113"/>
      <c r="C202" s="113"/>
      <c r="D202" s="113"/>
      <c r="E202" s="113"/>
      <c r="F202" s="113"/>
      <c r="G202" s="113"/>
      <c r="H202" s="113"/>
      <c r="I202" s="113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  <c r="AC202" s="113"/>
      <c r="AD202" s="113"/>
      <c r="AE202" s="113"/>
    </row>
    <row r="203" ht="15.75" customHeight="1">
      <c r="A203" s="113"/>
      <c r="B203" s="113"/>
      <c r="C203" s="113"/>
      <c r="D203" s="113"/>
      <c r="E203" s="113"/>
      <c r="F203" s="113"/>
      <c r="G203" s="113"/>
      <c r="H203" s="113"/>
      <c r="I203" s="113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  <c r="AC203" s="113"/>
      <c r="AD203" s="113"/>
      <c r="AE203" s="113"/>
    </row>
    <row r="204" ht="15.75" customHeight="1">
      <c r="A204" s="113"/>
      <c r="B204" s="113"/>
      <c r="C204" s="113"/>
      <c r="D204" s="113"/>
      <c r="E204" s="113"/>
      <c r="F204" s="113"/>
      <c r="G204" s="113"/>
      <c r="H204" s="113"/>
      <c r="I204" s="113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</row>
    <row r="205" ht="15.75" customHeight="1">
      <c r="A205" s="113"/>
      <c r="B205" s="113"/>
      <c r="C205" s="113"/>
      <c r="D205" s="113"/>
      <c r="E205" s="113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  <c r="AC205" s="113"/>
      <c r="AD205" s="113"/>
      <c r="AE205" s="113"/>
    </row>
    <row r="206" ht="15.75" customHeight="1">
      <c r="A206" s="113"/>
      <c r="B206" s="113"/>
      <c r="C206" s="113"/>
      <c r="D206" s="113"/>
      <c r="E206" s="113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  <c r="AC206" s="113"/>
      <c r="AD206" s="113"/>
      <c r="AE206" s="113"/>
    </row>
    <row r="207" ht="15.75" customHeight="1">
      <c r="A207" s="113"/>
      <c r="B207" s="113"/>
      <c r="C207" s="113"/>
      <c r="D207" s="113"/>
      <c r="E207" s="113"/>
      <c r="F207" s="113"/>
      <c r="G207" s="113"/>
      <c r="H207" s="113"/>
      <c r="I207" s="113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  <c r="AC207" s="113"/>
      <c r="AD207" s="113"/>
      <c r="AE207" s="113"/>
    </row>
    <row r="208" ht="15.75" customHeight="1">
      <c r="A208" s="113"/>
      <c r="B208" s="113"/>
      <c r="C208" s="113"/>
      <c r="D208" s="113"/>
      <c r="E208" s="113"/>
      <c r="F208" s="113"/>
      <c r="G208" s="113"/>
      <c r="H208" s="113"/>
      <c r="I208" s="113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  <c r="AC208" s="113"/>
      <c r="AD208" s="113"/>
      <c r="AE208" s="113"/>
    </row>
    <row r="209" ht="15.75" customHeight="1">
      <c r="A209" s="113"/>
      <c r="B209" s="113"/>
      <c r="C209" s="113"/>
      <c r="D209" s="113"/>
      <c r="E209" s="113"/>
      <c r="F209" s="113"/>
      <c r="G209" s="113"/>
      <c r="H209" s="113"/>
      <c r="I209" s="113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  <c r="AC209" s="113"/>
      <c r="AD209" s="113"/>
      <c r="AE209" s="113"/>
    </row>
    <row r="210" ht="15.75" customHeight="1">
      <c r="A210" s="113"/>
      <c r="B210" s="113"/>
      <c r="C210" s="113"/>
      <c r="D210" s="113"/>
      <c r="E210" s="113"/>
      <c r="F210" s="113"/>
      <c r="G210" s="113"/>
      <c r="H210" s="113"/>
      <c r="I210" s="113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  <c r="AC210" s="113"/>
      <c r="AD210" s="113"/>
      <c r="AE210" s="113"/>
    </row>
    <row r="211" ht="15.75" customHeight="1">
      <c r="A211" s="113"/>
      <c r="B211" s="113"/>
      <c r="C211" s="113"/>
      <c r="D211" s="113"/>
      <c r="E211" s="113"/>
      <c r="F211" s="113"/>
      <c r="G211" s="113"/>
      <c r="H211" s="113"/>
      <c r="I211" s="113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  <c r="AC211" s="113"/>
      <c r="AD211" s="113"/>
      <c r="AE211" s="113"/>
    </row>
    <row r="212" ht="15.75" customHeight="1">
      <c r="A212" s="113"/>
      <c r="B212" s="113"/>
      <c r="C212" s="113"/>
      <c r="D212" s="113"/>
      <c r="E212" s="113"/>
      <c r="F212" s="113"/>
      <c r="G212" s="113"/>
      <c r="H212" s="113"/>
      <c r="I212" s="113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  <c r="AC212" s="113"/>
      <c r="AD212" s="113"/>
      <c r="AE212" s="113"/>
    </row>
    <row r="213" ht="15.75" customHeight="1">
      <c r="A213" s="113"/>
      <c r="B213" s="113"/>
      <c r="C213" s="113"/>
      <c r="D213" s="113"/>
      <c r="E213" s="113"/>
      <c r="F213" s="113"/>
      <c r="G213" s="113"/>
      <c r="H213" s="113"/>
      <c r="I213" s="113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  <c r="AC213" s="113"/>
      <c r="AD213" s="113"/>
      <c r="AE213" s="113"/>
    </row>
    <row r="214" ht="15.75" customHeight="1">
      <c r="A214" s="113"/>
      <c r="B214" s="113"/>
      <c r="C214" s="113"/>
      <c r="D214" s="113"/>
      <c r="E214" s="113"/>
      <c r="F214" s="113"/>
      <c r="G214" s="113"/>
      <c r="H214" s="113"/>
      <c r="I214" s="113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  <c r="AC214" s="113"/>
      <c r="AD214" s="113"/>
      <c r="AE214" s="113"/>
    </row>
    <row r="215" ht="15.75" customHeight="1">
      <c r="A215" s="113"/>
      <c r="B215" s="113"/>
      <c r="C215" s="113"/>
      <c r="D215" s="113"/>
      <c r="E215" s="113"/>
      <c r="F215" s="113"/>
      <c r="G215" s="113"/>
      <c r="H215" s="113"/>
      <c r="I215" s="113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  <c r="AC215" s="113"/>
      <c r="AD215" s="113"/>
      <c r="AE215" s="113"/>
    </row>
    <row r="216" ht="15.75" customHeight="1">
      <c r="A216" s="113"/>
      <c r="B216" s="113"/>
      <c r="C216" s="113"/>
      <c r="D216" s="113"/>
      <c r="E216" s="113"/>
      <c r="F216" s="113"/>
      <c r="G216" s="113"/>
      <c r="H216" s="113"/>
      <c r="I216" s="113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  <c r="AC216" s="113"/>
      <c r="AD216" s="113"/>
      <c r="AE216" s="113"/>
    </row>
    <row r="217" ht="15.75" customHeight="1">
      <c r="A217" s="113"/>
      <c r="B217" s="113"/>
      <c r="C217" s="113"/>
      <c r="D217" s="113"/>
      <c r="E217" s="113"/>
      <c r="F217" s="113"/>
      <c r="G217" s="113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</row>
    <row r="218" ht="15.75" customHeight="1">
      <c r="A218" s="113"/>
      <c r="B218" s="113"/>
      <c r="C218" s="113"/>
      <c r="D218" s="113"/>
      <c r="E218" s="113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  <c r="AC218" s="113"/>
      <c r="AD218" s="113"/>
      <c r="AE218" s="113"/>
    </row>
    <row r="219" ht="15.75" customHeight="1">
      <c r="A219" s="113"/>
      <c r="B219" s="113"/>
      <c r="C219" s="113"/>
      <c r="D219" s="113"/>
      <c r="E219" s="113"/>
      <c r="F219" s="113"/>
      <c r="G219" s="113"/>
      <c r="H219" s="113"/>
      <c r="I219" s="113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  <c r="AC219" s="113"/>
      <c r="AD219" s="113"/>
      <c r="AE219" s="113"/>
    </row>
    <row r="220" ht="15.75" customHeight="1">
      <c r="A220" s="113"/>
      <c r="B220" s="113"/>
      <c r="C220" s="113"/>
      <c r="D220" s="113"/>
      <c r="E220" s="113"/>
      <c r="F220" s="113"/>
      <c r="G220" s="113"/>
      <c r="H220" s="113"/>
      <c r="I220" s="113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  <c r="AC220" s="113"/>
      <c r="AD220" s="113"/>
      <c r="AE220" s="113"/>
    </row>
    <row r="221" ht="15.75" customHeight="1">
      <c r="A221" s="113"/>
      <c r="B221" s="113"/>
      <c r="C221" s="113"/>
      <c r="D221" s="113"/>
      <c r="E221" s="113"/>
      <c r="F221" s="113"/>
      <c r="G221" s="113"/>
      <c r="H221" s="113"/>
      <c r="I221" s="113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  <c r="AC221" s="113"/>
      <c r="AD221" s="113"/>
      <c r="AE221" s="113"/>
    </row>
    <row r="222" ht="15.75" customHeight="1">
      <c r="A222" s="113"/>
      <c r="B222" s="113"/>
      <c r="C222" s="113"/>
      <c r="D222" s="113"/>
      <c r="E222" s="113"/>
      <c r="F222" s="113"/>
      <c r="G222" s="113"/>
      <c r="H222" s="113"/>
      <c r="I222" s="113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  <c r="AC222" s="113"/>
      <c r="AD222" s="113"/>
      <c r="AE222" s="113"/>
    </row>
    <row r="223" ht="15.75" customHeight="1">
      <c r="A223" s="113"/>
      <c r="B223" s="113"/>
      <c r="C223" s="113"/>
      <c r="D223" s="113"/>
      <c r="E223" s="113"/>
      <c r="F223" s="113"/>
      <c r="G223" s="113"/>
      <c r="H223" s="113"/>
      <c r="I223" s="113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  <c r="AC223" s="113"/>
      <c r="AD223" s="113"/>
      <c r="AE223" s="113"/>
    </row>
    <row r="224" ht="15.75" customHeight="1">
      <c r="A224" s="113"/>
      <c r="B224" s="113"/>
      <c r="C224" s="113"/>
      <c r="D224" s="113"/>
      <c r="E224" s="113"/>
      <c r="F224" s="113"/>
      <c r="G224" s="113"/>
      <c r="H224" s="113"/>
      <c r="I224" s="113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  <c r="AC224" s="113"/>
      <c r="AD224" s="113"/>
      <c r="AE224" s="113"/>
    </row>
    <row r="225" ht="15.75" customHeight="1">
      <c r="A225" s="113"/>
      <c r="B225" s="113"/>
      <c r="C225" s="113"/>
      <c r="D225" s="113"/>
      <c r="E225" s="113"/>
      <c r="F225" s="113"/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</row>
    <row r="226" ht="15.75" customHeight="1">
      <c r="A226" s="113"/>
      <c r="B226" s="113"/>
      <c r="C226" s="113"/>
      <c r="D226" s="113"/>
      <c r="E226" s="113"/>
      <c r="F226" s="113"/>
      <c r="G226" s="113"/>
      <c r="H226" s="113"/>
      <c r="I226" s="113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  <c r="AC226" s="113"/>
      <c r="AD226" s="113"/>
      <c r="AE226" s="113"/>
    </row>
    <row r="227" ht="15.75" customHeight="1">
      <c r="A227" s="113"/>
      <c r="B227" s="113"/>
      <c r="C227" s="113"/>
      <c r="D227" s="113"/>
      <c r="E227" s="113"/>
      <c r="F227" s="113"/>
      <c r="G227" s="113"/>
      <c r="H227" s="113"/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</row>
    <row r="228" ht="15.75" customHeight="1">
      <c r="A228" s="113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  <c r="AC228" s="113"/>
      <c r="AD228" s="113"/>
      <c r="AE228" s="113"/>
    </row>
    <row r="229" ht="15.75" customHeight="1">
      <c r="A229" s="113"/>
      <c r="B229" s="113"/>
      <c r="C229" s="113"/>
      <c r="D229" s="113"/>
      <c r="E229" s="113"/>
      <c r="F229" s="113"/>
      <c r="G229" s="113"/>
      <c r="H229" s="113"/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</row>
    <row r="230" ht="15.75" customHeight="1">
      <c r="A230" s="113"/>
      <c r="B230" s="113"/>
      <c r="C230" s="113"/>
      <c r="D230" s="113"/>
      <c r="E230" s="113"/>
      <c r="F230" s="113"/>
      <c r="G230" s="113"/>
      <c r="H230" s="113"/>
      <c r="I230" s="113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  <c r="AC230" s="113"/>
      <c r="AD230" s="113"/>
      <c r="AE230" s="113"/>
    </row>
    <row r="231" ht="15.75" customHeight="1">
      <c r="A231" s="113"/>
      <c r="B231" s="113"/>
      <c r="C231" s="113"/>
      <c r="D231" s="113"/>
      <c r="E231" s="113"/>
      <c r="F231" s="113"/>
      <c r="G231" s="113"/>
      <c r="H231" s="113"/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</row>
    <row r="232" ht="15.75" customHeight="1">
      <c r="A232" s="113"/>
      <c r="B232" s="113"/>
      <c r="C232" s="113"/>
      <c r="D232" s="113"/>
      <c r="E232" s="113"/>
      <c r="F232" s="113"/>
      <c r="G232" s="113"/>
      <c r="H232" s="113"/>
      <c r="I232" s="113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  <c r="AC232" s="113"/>
      <c r="AD232" s="113"/>
      <c r="AE232" s="113"/>
    </row>
    <row r="233" ht="15.75" customHeight="1">
      <c r="A233" s="113"/>
      <c r="B233" s="113"/>
      <c r="C233" s="113"/>
      <c r="D233" s="113"/>
      <c r="E233" s="113"/>
      <c r="F233" s="113"/>
      <c r="G233" s="113"/>
      <c r="H233" s="113"/>
      <c r="I233" s="113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  <c r="AC233" s="113"/>
      <c r="AD233" s="113"/>
      <c r="AE233" s="113"/>
    </row>
    <row r="234" ht="15.75" customHeight="1">
      <c r="A234" s="113"/>
      <c r="B234" s="113"/>
      <c r="C234" s="113"/>
      <c r="D234" s="113"/>
      <c r="E234" s="113"/>
      <c r="F234" s="113"/>
      <c r="G234" s="113"/>
      <c r="H234" s="113"/>
      <c r="I234" s="113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  <c r="AC234" s="113"/>
      <c r="AD234" s="113"/>
      <c r="AE234" s="113"/>
    </row>
    <row r="235" ht="15.75" customHeight="1">
      <c r="A235" s="113"/>
      <c r="B235" s="113"/>
      <c r="C235" s="113"/>
      <c r="D235" s="113"/>
      <c r="E235" s="113"/>
      <c r="F235" s="113"/>
      <c r="G235" s="113"/>
      <c r="H235" s="113"/>
      <c r="I235" s="113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  <c r="AC235" s="113"/>
      <c r="AD235" s="113"/>
      <c r="AE235" s="113"/>
    </row>
    <row r="236" ht="15.75" customHeight="1">
      <c r="A236" s="113"/>
      <c r="B236" s="113"/>
      <c r="C236" s="113"/>
      <c r="D236" s="113"/>
      <c r="E236" s="113"/>
      <c r="F236" s="113"/>
      <c r="G236" s="113"/>
      <c r="H236" s="113"/>
      <c r="I236" s="113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  <c r="AC236" s="113"/>
      <c r="AD236" s="113"/>
      <c r="AE236" s="113"/>
    </row>
    <row r="237" ht="15.75" customHeight="1">
      <c r="A237" s="113"/>
      <c r="B237" s="113"/>
      <c r="C237" s="113"/>
      <c r="D237" s="113"/>
      <c r="E237" s="113"/>
      <c r="F237" s="113"/>
      <c r="G237" s="113"/>
      <c r="H237" s="113"/>
      <c r="I237" s="113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  <c r="AC237" s="113"/>
      <c r="AD237" s="113"/>
      <c r="AE237" s="113"/>
    </row>
    <row r="238" ht="15.75" customHeight="1">
      <c r="A238" s="113"/>
      <c r="B238" s="113"/>
      <c r="C238" s="113"/>
      <c r="D238" s="113"/>
      <c r="E238" s="113"/>
      <c r="F238" s="113"/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</row>
    <row r="239" ht="15.75" customHeight="1">
      <c r="A239" s="113"/>
      <c r="B239" s="113"/>
      <c r="C239" s="113"/>
      <c r="D239" s="113"/>
      <c r="E239" s="113"/>
      <c r="F239" s="113"/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</row>
    <row r="240" ht="15.75" customHeight="1">
      <c r="A240" s="113"/>
      <c r="B240" s="113"/>
      <c r="C240" s="113"/>
      <c r="D240" s="113"/>
      <c r="E240" s="113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</row>
    <row r="241" ht="15.75" customHeight="1">
      <c r="A241" s="113"/>
      <c r="B241" s="113"/>
      <c r="C241" s="113"/>
      <c r="D241" s="113"/>
      <c r="E241" s="113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  <c r="AC241" s="113"/>
      <c r="AD241" s="113"/>
      <c r="AE241" s="113"/>
    </row>
    <row r="242" ht="15.75" customHeight="1">
      <c r="A242" s="113"/>
      <c r="B242" s="113"/>
      <c r="C242" s="113"/>
      <c r="D242" s="113"/>
      <c r="E242" s="113"/>
      <c r="F242" s="113"/>
      <c r="G242" s="113"/>
      <c r="H242" s="113"/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</row>
    <row r="243" ht="15.75" customHeight="1">
      <c r="A243" s="113"/>
      <c r="B243" s="113"/>
      <c r="C243" s="113"/>
      <c r="D243" s="113"/>
      <c r="E243" s="113"/>
      <c r="F243" s="113"/>
      <c r="G243" s="113"/>
      <c r="H243" s="113"/>
      <c r="I243" s="113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  <c r="AC243" s="113"/>
      <c r="AD243" s="113"/>
      <c r="AE243" s="113"/>
    </row>
    <row r="244" ht="15.75" customHeight="1">
      <c r="A244" s="113"/>
      <c r="B244" s="113"/>
      <c r="C244" s="113"/>
      <c r="D244" s="113"/>
      <c r="E244" s="113"/>
      <c r="F244" s="113"/>
      <c r="G244" s="113"/>
      <c r="H244" s="113"/>
      <c r="I244" s="113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  <c r="AC244" s="113"/>
      <c r="AD244" s="113"/>
      <c r="AE244" s="113"/>
    </row>
    <row r="245" ht="15.75" customHeight="1">
      <c r="A245" s="113"/>
      <c r="B245" s="113"/>
      <c r="C245" s="113"/>
      <c r="D245" s="113"/>
      <c r="E245" s="113"/>
      <c r="F245" s="113"/>
      <c r="G245" s="113"/>
      <c r="H245" s="113"/>
      <c r="I245" s="113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  <c r="AC245" s="113"/>
      <c r="AD245" s="113"/>
      <c r="AE245" s="113"/>
    </row>
    <row r="246" ht="15.75" customHeight="1">
      <c r="A246" s="113"/>
      <c r="B246" s="113"/>
      <c r="C246" s="113"/>
      <c r="D246" s="113"/>
      <c r="E246" s="113"/>
      <c r="F246" s="113"/>
      <c r="G246" s="113"/>
      <c r="H246" s="113"/>
      <c r="I246" s="113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  <c r="AC246" s="113"/>
      <c r="AD246" s="113"/>
      <c r="AE246" s="113"/>
    </row>
    <row r="247" ht="15.75" customHeight="1">
      <c r="A247" s="113"/>
      <c r="B247" s="113"/>
      <c r="C247" s="113"/>
      <c r="D247" s="113"/>
      <c r="E247" s="113"/>
      <c r="F247" s="113"/>
      <c r="G247" s="113"/>
      <c r="H247" s="113"/>
      <c r="I247" s="113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</row>
    <row r="248" ht="15.75" customHeight="1">
      <c r="A248" s="113"/>
      <c r="B248" s="113"/>
      <c r="C248" s="113"/>
      <c r="D248" s="113"/>
      <c r="E248" s="113"/>
      <c r="F248" s="113"/>
      <c r="G248" s="113"/>
      <c r="H248" s="113"/>
      <c r="I248" s="113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  <c r="AC248" s="113"/>
      <c r="AD248" s="113"/>
      <c r="AE248" s="113"/>
    </row>
    <row r="249" ht="15.75" customHeight="1">
      <c r="A249" s="113"/>
      <c r="B249" s="113"/>
      <c r="C249" s="113"/>
      <c r="D249" s="113"/>
      <c r="E249" s="113"/>
      <c r="F249" s="113"/>
      <c r="G249" s="113"/>
      <c r="H249" s="113"/>
      <c r="I249" s="113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  <c r="AC249" s="113"/>
      <c r="AD249" s="113"/>
      <c r="AE249" s="113"/>
    </row>
    <row r="250" ht="15.75" customHeight="1">
      <c r="A250" s="113"/>
      <c r="B250" s="113"/>
      <c r="C250" s="113"/>
      <c r="D250" s="113"/>
      <c r="E250" s="113"/>
      <c r="F250" s="113"/>
      <c r="G250" s="113"/>
      <c r="H250" s="113"/>
      <c r="I250" s="113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  <c r="AC250" s="113"/>
      <c r="AD250" s="113"/>
      <c r="AE250" s="113"/>
    </row>
    <row r="251" ht="15.75" customHeight="1">
      <c r="A251" s="113"/>
      <c r="B251" s="113"/>
      <c r="C251" s="113"/>
      <c r="D251" s="113"/>
      <c r="E251" s="113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</row>
    <row r="252" ht="15.75" customHeight="1">
      <c r="A252" s="113"/>
      <c r="B252" s="113"/>
      <c r="C252" s="113"/>
      <c r="D252" s="113"/>
      <c r="E252" s="113"/>
      <c r="F252" s="113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</row>
    <row r="253" ht="15.75" customHeight="1">
      <c r="A253" s="113"/>
      <c r="B253" s="113"/>
      <c r="C253" s="113"/>
      <c r="D253" s="113"/>
      <c r="E253" s="113"/>
      <c r="F253" s="113"/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</row>
    <row r="254" ht="15.75" customHeight="1">
      <c r="A254" s="113"/>
      <c r="B254" s="113"/>
      <c r="C254" s="113"/>
      <c r="D254" s="113"/>
      <c r="E254" s="113"/>
      <c r="F254" s="113"/>
      <c r="G254" s="113"/>
      <c r="H254" s="113"/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</row>
    <row r="255" ht="15.75" customHeight="1">
      <c r="A255" s="113"/>
      <c r="B255" s="113"/>
      <c r="C255" s="113"/>
      <c r="D255" s="113"/>
      <c r="E255" s="113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</row>
    <row r="256" ht="15.75" customHeight="1">
      <c r="A256" s="113"/>
      <c r="B256" s="113"/>
      <c r="C256" s="113"/>
      <c r="D256" s="113"/>
      <c r="E256" s="113"/>
      <c r="F256" s="113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</row>
    <row r="257" ht="15.75" customHeight="1">
      <c r="A257" s="113"/>
      <c r="B257" s="113"/>
      <c r="C257" s="113"/>
      <c r="D257" s="113"/>
      <c r="E257" s="113"/>
      <c r="F257" s="113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</row>
    <row r="258" ht="15.75" customHeight="1">
      <c r="A258" s="113"/>
      <c r="B258" s="113"/>
      <c r="C258" s="113"/>
      <c r="D258" s="113"/>
      <c r="E258" s="113"/>
      <c r="F258" s="113"/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</row>
    <row r="259" ht="15.75" customHeight="1">
      <c r="A259" s="113"/>
      <c r="B259" s="113"/>
      <c r="C259" s="113"/>
      <c r="D259" s="113"/>
      <c r="E259" s="113"/>
      <c r="F259" s="113"/>
      <c r="G259" s="113"/>
      <c r="H259" s="113"/>
      <c r="I259" s="113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  <c r="AC259" s="113"/>
      <c r="AD259" s="113"/>
      <c r="AE259" s="113"/>
    </row>
    <row r="260" ht="15.75" customHeight="1">
      <c r="A260" s="113"/>
      <c r="B260" s="113"/>
      <c r="C260" s="113"/>
      <c r="D260" s="113"/>
      <c r="E260" s="113"/>
      <c r="F260" s="113"/>
      <c r="G260" s="113"/>
      <c r="H260" s="113"/>
      <c r="I260" s="113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  <c r="AC260" s="113"/>
      <c r="AD260" s="113"/>
      <c r="AE260" s="113"/>
    </row>
    <row r="261" ht="15.75" customHeight="1">
      <c r="A261" s="113"/>
      <c r="B261" s="113"/>
      <c r="C261" s="113"/>
      <c r="D261" s="113"/>
      <c r="E261" s="113"/>
      <c r="F261" s="113"/>
      <c r="G261" s="113"/>
      <c r="H261" s="113"/>
      <c r="I261" s="113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  <c r="AC261" s="113"/>
      <c r="AD261" s="113"/>
      <c r="AE261" s="113"/>
    </row>
    <row r="262" ht="15.75" customHeight="1">
      <c r="A262" s="113"/>
      <c r="B262" s="113"/>
      <c r="C262" s="113"/>
      <c r="D262" s="113"/>
      <c r="E262" s="113"/>
      <c r="F262" s="113"/>
      <c r="G262" s="113"/>
      <c r="H262" s="113"/>
      <c r="I262" s="113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  <c r="AC262" s="113"/>
      <c r="AD262" s="113"/>
      <c r="AE262" s="113"/>
    </row>
    <row r="263" ht="15.75" customHeight="1">
      <c r="A263" s="113"/>
      <c r="B263" s="113"/>
      <c r="C263" s="113"/>
      <c r="D263" s="113"/>
      <c r="E263" s="113"/>
      <c r="F263" s="113"/>
      <c r="G263" s="113"/>
      <c r="H263" s="113"/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</row>
    <row r="264" ht="15.75" customHeight="1">
      <c r="A264" s="113"/>
      <c r="B264" s="113"/>
      <c r="C264" s="113"/>
      <c r="D264" s="113"/>
      <c r="E264" s="113"/>
      <c r="F264" s="113"/>
      <c r="G264" s="113"/>
      <c r="H264" s="113"/>
      <c r="I264" s="113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  <c r="AC264" s="113"/>
      <c r="AD264" s="113"/>
      <c r="AE264" s="113"/>
    </row>
    <row r="265" ht="15.75" customHeight="1">
      <c r="A265" s="113"/>
      <c r="B265" s="113"/>
      <c r="C265" s="113"/>
      <c r="D265" s="113"/>
      <c r="E265" s="113"/>
      <c r="F265" s="113"/>
      <c r="G265" s="113"/>
      <c r="H265" s="113"/>
      <c r="I265" s="113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  <c r="AC265" s="113"/>
      <c r="AD265" s="113"/>
      <c r="AE265" s="113"/>
    </row>
    <row r="266" ht="15.75" customHeight="1">
      <c r="A266" s="113"/>
      <c r="B266" s="113"/>
      <c r="C266" s="113"/>
      <c r="D266" s="113"/>
      <c r="E266" s="113"/>
      <c r="F266" s="113"/>
      <c r="G266" s="113"/>
      <c r="H266" s="113"/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</row>
    <row r="267" ht="15.75" customHeight="1">
      <c r="A267" s="113"/>
      <c r="B267" s="113"/>
      <c r="C267" s="113"/>
      <c r="D267" s="113"/>
      <c r="E267" s="113"/>
      <c r="F267" s="113"/>
      <c r="G267" s="113"/>
      <c r="H267" s="113"/>
      <c r="I267" s="113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  <c r="AC267" s="113"/>
      <c r="AD267" s="113"/>
      <c r="AE267" s="113"/>
    </row>
    <row r="268" ht="15.75" customHeight="1">
      <c r="A268" s="113"/>
      <c r="B268" s="113"/>
      <c r="C268" s="113"/>
      <c r="D268" s="113"/>
      <c r="E268" s="113"/>
      <c r="F268" s="113"/>
      <c r="G268" s="113"/>
      <c r="H268" s="113"/>
      <c r="I268" s="113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  <c r="AC268" s="113"/>
      <c r="AD268" s="113"/>
      <c r="AE268" s="113"/>
    </row>
    <row r="269" ht="15.75" customHeight="1">
      <c r="A269" s="113"/>
      <c r="B269" s="113"/>
      <c r="C269" s="113"/>
      <c r="D269" s="113"/>
      <c r="E269" s="113"/>
      <c r="F269" s="113"/>
      <c r="G269" s="113"/>
      <c r="H269" s="113"/>
      <c r="I269" s="113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  <c r="AC269" s="113"/>
      <c r="AD269" s="113"/>
      <c r="AE269" s="113"/>
    </row>
    <row r="270" ht="15.75" customHeight="1">
      <c r="A270" s="113"/>
      <c r="B270" s="113"/>
      <c r="C270" s="113"/>
      <c r="D270" s="113"/>
      <c r="E270" s="113"/>
      <c r="F270" s="113"/>
      <c r="G270" s="113"/>
      <c r="H270" s="113"/>
      <c r="I270" s="113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  <c r="AC270" s="113"/>
      <c r="AD270" s="113"/>
      <c r="AE270" s="113"/>
    </row>
    <row r="271" ht="15.75" customHeight="1">
      <c r="A271" s="113"/>
      <c r="B271" s="113"/>
      <c r="C271" s="113"/>
      <c r="D271" s="113"/>
      <c r="E271" s="113"/>
      <c r="F271" s="113"/>
      <c r="G271" s="113"/>
      <c r="H271" s="113"/>
      <c r="I271" s="113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  <c r="AC271" s="113"/>
      <c r="AD271" s="113"/>
      <c r="AE271" s="113"/>
    </row>
    <row r="272" ht="15.75" customHeight="1">
      <c r="A272" s="113"/>
      <c r="B272" s="113"/>
      <c r="C272" s="113"/>
      <c r="D272" s="113"/>
      <c r="E272" s="113"/>
      <c r="F272" s="113"/>
      <c r="G272" s="113"/>
      <c r="H272" s="113"/>
      <c r="I272" s="113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  <c r="AC272" s="113"/>
      <c r="AD272" s="113"/>
      <c r="AE272" s="113"/>
    </row>
    <row r="273" ht="15.75" customHeight="1">
      <c r="A273" s="113"/>
      <c r="B273" s="113"/>
      <c r="C273" s="113"/>
      <c r="D273" s="113"/>
      <c r="E273" s="113"/>
      <c r="F273" s="113"/>
      <c r="G273" s="113"/>
      <c r="H273" s="113"/>
      <c r="I273" s="113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  <c r="AC273" s="113"/>
      <c r="AD273" s="113"/>
      <c r="AE273" s="113"/>
    </row>
    <row r="274" ht="15.75" customHeight="1">
      <c r="A274" s="113"/>
      <c r="B274" s="113"/>
      <c r="C274" s="113"/>
      <c r="D274" s="113"/>
      <c r="E274" s="113"/>
      <c r="F274" s="113"/>
      <c r="G274" s="113"/>
      <c r="H274" s="113"/>
      <c r="I274" s="113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  <c r="AC274" s="113"/>
      <c r="AD274" s="113"/>
      <c r="AE274" s="113"/>
    </row>
    <row r="275" ht="15.75" customHeight="1">
      <c r="A275" s="113"/>
      <c r="B275" s="113"/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</row>
    <row r="276" ht="15.75" customHeight="1">
      <c r="A276" s="113"/>
      <c r="B276" s="113"/>
      <c r="C276" s="113"/>
      <c r="D276" s="113"/>
      <c r="E276" s="113"/>
      <c r="F276" s="113"/>
      <c r="G276" s="113"/>
      <c r="H276" s="113"/>
      <c r="I276" s="113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  <c r="AC276" s="113"/>
      <c r="AD276" s="113"/>
      <c r="AE276" s="113"/>
    </row>
    <row r="277" ht="15.75" customHeight="1">
      <c r="A277" s="113"/>
      <c r="B277" s="113"/>
      <c r="C277" s="113"/>
      <c r="D277" s="113"/>
      <c r="E277" s="113"/>
      <c r="F277" s="113"/>
      <c r="G277" s="113"/>
      <c r="H277" s="113"/>
      <c r="I277" s="113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  <c r="AC277" s="113"/>
      <c r="AD277" s="113"/>
      <c r="AE277" s="113"/>
    </row>
    <row r="278" ht="15.75" customHeight="1">
      <c r="A278" s="113"/>
      <c r="B278" s="113"/>
      <c r="C278" s="113"/>
      <c r="D278" s="113"/>
      <c r="E278" s="113"/>
      <c r="F278" s="113"/>
      <c r="G278" s="113"/>
      <c r="H278" s="113"/>
      <c r="I278" s="113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  <c r="AC278" s="113"/>
      <c r="AD278" s="113"/>
      <c r="AE278" s="113"/>
    </row>
    <row r="279" ht="15.75" customHeight="1">
      <c r="A279" s="113"/>
      <c r="B279" s="113"/>
      <c r="C279" s="113"/>
      <c r="D279" s="113"/>
      <c r="E279" s="113"/>
      <c r="F279" s="113"/>
      <c r="G279" s="113"/>
      <c r="H279" s="113"/>
      <c r="I279" s="113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  <c r="AC279" s="113"/>
      <c r="AD279" s="113"/>
      <c r="AE279" s="113"/>
    </row>
    <row r="280" ht="15.75" customHeight="1">
      <c r="A280" s="113"/>
      <c r="B280" s="113"/>
      <c r="C280" s="113"/>
      <c r="D280" s="113"/>
      <c r="E280" s="113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  <c r="AC280" s="113"/>
      <c r="AD280" s="113"/>
      <c r="AE280" s="113"/>
    </row>
    <row r="281" ht="15.75" customHeight="1">
      <c r="A281" s="113"/>
      <c r="B281" s="113"/>
      <c r="C281" s="113"/>
      <c r="D281" s="113"/>
      <c r="E281" s="113"/>
      <c r="F281" s="113"/>
      <c r="G281" s="113"/>
      <c r="H281" s="113"/>
      <c r="I281" s="113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  <c r="AC281" s="113"/>
      <c r="AD281" s="113"/>
      <c r="AE281" s="113"/>
    </row>
    <row r="282" ht="15.75" customHeight="1">
      <c r="A282" s="113"/>
      <c r="B282" s="113"/>
      <c r="C282" s="113"/>
      <c r="D282" s="113"/>
      <c r="E282" s="113"/>
      <c r="F282" s="113"/>
      <c r="G282" s="113"/>
      <c r="H282" s="113"/>
      <c r="I282" s="113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  <c r="AC282" s="113"/>
      <c r="AD282" s="113"/>
      <c r="AE282" s="113"/>
    </row>
    <row r="283" ht="15.75" customHeight="1">
      <c r="A283" s="113"/>
      <c r="B283" s="113"/>
      <c r="C283" s="113"/>
      <c r="D283" s="113"/>
      <c r="E283" s="113"/>
      <c r="F283" s="113"/>
      <c r="G283" s="113"/>
      <c r="H283" s="113"/>
      <c r="I283" s="113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  <c r="AC283" s="113"/>
      <c r="AD283" s="113"/>
      <c r="AE283" s="113"/>
    </row>
    <row r="284" ht="15.75" customHeight="1">
      <c r="A284" s="113"/>
      <c r="B284" s="113"/>
      <c r="C284" s="113"/>
      <c r="D284" s="113"/>
      <c r="E284" s="113"/>
      <c r="F284" s="113"/>
      <c r="G284" s="113"/>
      <c r="H284" s="113"/>
      <c r="I284" s="113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  <c r="AC284" s="113"/>
      <c r="AD284" s="113"/>
      <c r="AE284" s="113"/>
    </row>
    <row r="285" ht="15.75" customHeight="1">
      <c r="A285" s="113"/>
      <c r="B285" s="113"/>
      <c r="C285" s="113"/>
      <c r="D285" s="113"/>
      <c r="E285" s="113"/>
      <c r="F285" s="113"/>
      <c r="G285" s="113"/>
      <c r="H285" s="113"/>
      <c r="I285" s="113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  <c r="AC285" s="113"/>
      <c r="AD285" s="113"/>
      <c r="AE285" s="113"/>
    </row>
    <row r="286" ht="15.75" customHeight="1">
      <c r="A286" s="113"/>
      <c r="B286" s="113"/>
      <c r="C286" s="113"/>
      <c r="D286" s="113"/>
      <c r="E286" s="113"/>
      <c r="F286" s="113"/>
      <c r="G286" s="113"/>
      <c r="H286" s="113"/>
      <c r="I286" s="113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  <c r="AC286" s="113"/>
      <c r="AD286" s="113"/>
      <c r="AE286" s="113"/>
    </row>
    <row r="287" ht="15.75" customHeight="1">
      <c r="A287" s="113"/>
      <c r="B287" s="113"/>
      <c r="C287" s="113"/>
      <c r="D287" s="113"/>
      <c r="E287" s="113"/>
      <c r="F287" s="113"/>
      <c r="G287" s="113"/>
      <c r="H287" s="113"/>
      <c r="I287" s="113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  <c r="AC287" s="113"/>
      <c r="AD287" s="113"/>
      <c r="AE287" s="113"/>
    </row>
    <row r="288" ht="15.75" customHeight="1">
      <c r="A288" s="113"/>
      <c r="B288" s="113"/>
      <c r="C288" s="113"/>
      <c r="D288" s="113"/>
      <c r="E288" s="113"/>
      <c r="F288" s="113"/>
      <c r="G288" s="113"/>
      <c r="H288" s="113"/>
      <c r="I288" s="113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  <c r="AC288" s="113"/>
      <c r="AD288" s="113"/>
      <c r="AE288" s="113"/>
    </row>
    <row r="289" ht="15.75" customHeight="1">
      <c r="A289" s="113"/>
      <c r="B289" s="113"/>
      <c r="C289" s="113"/>
      <c r="D289" s="113"/>
      <c r="E289" s="113"/>
      <c r="F289" s="113"/>
      <c r="G289" s="113"/>
      <c r="H289" s="113"/>
      <c r="I289" s="113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  <c r="AC289" s="113"/>
      <c r="AD289" s="113"/>
      <c r="AE289" s="113"/>
    </row>
    <row r="290" ht="15.75" customHeight="1">
      <c r="A290" s="113"/>
      <c r="B290" s="113"/>
      <c r="C290" s="113"/>
      <c r="D290" s="113"/>
      <c r="E290" s="113"/>
      <c r="F290" s="113"/>
      <c r="G290" s="113"/>
      <c r="H290" s="113"/>
      <c r="I290" s="113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  <c r="AC290" s="113"/>
      <c r="AD290" s="113"/>
      <c r="AE290" s="113"/>
    </row>
    <row r="291" ht="15.75" customHeight="1">
      <c r="A291" s="113"/>
      <c r="B291" s="113"/>
      <c r="C291" s="113"/>
      <c r="D291" s="113"/>
      <c r="E291" s="113"/>
      <c r="F291" s="113"/>
      <c r="G291" s="113"/>
      <c r="H291" s="113"/>
      <c r="I291" s="113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  <c r="AC291" s="113"/>
      <c r="AD291" s="113"/>
      <c r="AE291" s="113"/>
    </row>
    <row r="292" ht="15.75" customHeight="1">
      <c r="A292" s="113"/>
      <c r="B292" s="113"/>
      <c r="C292" s="113"/>
      <c r="D292" s="113"/>
      <c r="E292" s="113"/>
      <c r="F292" s="113"/>
      <c r="G292" s="113"/>
      <c r="H292" s="113"/>
      <c r="I292" s="113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  <c r="AC292" s="113"/>
      <c r="AD292" s="113"/>
      <c r="AE292" s="113"/>
    </row>
    <row r="293" ht="15.75" customHeight="1">
      <c r="A293" s="113"/>
      <c r="B293" s="113"/>
      <c r="C293" s="113"/>
      <c r="D293" s="113"/>
      <c r="E293" s="113"/>
      <c r="F293" s="113"/>
      <c r="G293" s="113"/>
      <c r="H293" s="113"/>
      <c r="I293" s="113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  <c r="AC293" s="113"/>
      <c r="AD293" s="113"/>
      <c r="AE293" s="113"/>
    </row>
    <row r="294" ht="15.75" customHeight="1">
      <c r="A294" s="113"/>
      <c r="B294" s="113"/>
      <c r="C294" s="113"/>
      <c r="D294" s="113"/>
      <c r="E294" s="113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  <c r="AC294" s="113"/>
      <c r="AD294" s="113"/>
      <c r="AE294" s="113"/>
    </row>
    <row r="295" ht="15.75" customHeight="1">
      <c r="A295" s="113"/>
      <c r="B295" s="113"/>
      <c r="C295" s="113"/>
      <c r="D295" s="113"/>
      <c r="E295" s="113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  <c r="AC295" s="113"/>
      <c r="AD295" s="113"/>
      <c r="AE295" s="113"/>
    </row>
    <row r="296" ht="15.75" customHeight="1">
      <c r="A296" s="113"/>
      <c r="B296" s="113"/>
      <c r="C296" s="113"/>
      <c r="D296" s="113"/>
      <c r="E296" s="113"/>
      <c r="F296" s="113"/>
      <c r="G296" s="113"/>
      <c r="H296" s="113"/>
      <c r="I296" s="113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  <c r="AC296" s="113"/>
      <c r="AD296" s="113"/>
      <c r="AE296" s="113"/>
    </row>
    <row r="297" ht="15.75" customHeight="1">
      <c r="A297" s="113"/>
      <c r="B297" s="113"/>
      <c r="C297" s="113"/>
      <c r="D297" s="113"/>
      <c r="E297" s="113"/>
      <c r="F297" s="113"/>
      <c r="G297" s="113"/>
      <c r="H297" s="113"/>
      <c r="I297" s="113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  <c r="AC297" s="113"/>
      <c r="AD297" s="113"/>
      <c r="AE297" s="113"/>
    </row>
    <row r="298" ht="15.75" customHeight="1">
      <c r="A298" s="113"/>
      <c r="B298" s="113"/>
      <c r="C298" s="113"/>
      <c r="D298" s="113"/>
      <c r="E298" s="113"/>
      <c r="F298" s="113"/>
      <c r="G298" s="113"/>
      <c r="H298" s="113"/>
      <c r="I298" s="113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  <c r="AC298" s="113"/>
      <c r="AD298" s="113"/>
      <c r="AE298" s="113"/>
    </row>
    <row r="299" ht="15.75" customHeight="1">
      <c r="A299" s="113"/>
      <c r="B299" s="113"/>
      <c r="C299" s="113"/>
      <c r="D299" s="113"/>
      <c r="E299" s="113"/>
      <c r="F299" s="113"/>
      <c r="G299" s="113"/>
      <c r="H299" s="113"/>
      <c r="I299" s="113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  <c r="AC299" s="113"/>
      <c r="AD299" s="113"/>
      <c r="AE299" s="113"/>
    </row>
    <row r="300" ht="15.75" customHeight="1">
      <c r="A300" s="113"/>
      <c r="B300" s="113"/>
      <c r="C300" s="113"/>
      <c r="D300" s="113"/>
      <c r="E300" s="113"/>
      <c r="F300" s="113"/>
      <c r="G300" s="113"/>
      <c r="H300" s="113"/>
      <c r="I300" s="113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  <c r="AC300" s="113"/>
      <c r="AD300" s="113"/>
      <c r="AE300" s="113"/>
    </row>
    <row r="301" ht="15.75" customHeight="1">
      <c r="A301" s="113"/>
      <c r="B301" s="113"/>
      <c r="C301" s="113"/>
      <c r="D301" s="113"/>
      <c r="E301" s="113"/>
      <c r="F301" s="113"/>
      <c r="G301" s="113"/>
      <c r="H301" s="113"/>
      <c r="I301" s="113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  <c r="AC301" s="113"/>
      <c r="AD301" s="113"/>
      <c r="AE301" s="113"/>
    </row>
    <row r="302" ht="15.75" customHeight="1">
      <c r="A302" s="113"/>
      <c r="B302" s="113"/>
      <c r="C302" s="113"/>
      <c r="D302" s="113"/>
      <c r="E302" s="113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  <c r="AC302" s="113"/>
      <c r="AD302" s="113"/>
      <c r="AE302" s="113"/>
    </row>
    <row r="303" ht="15.75" customHeight="1">
      <c r="A303" s="113"/>
      <c r="B303" s="113"/>
      <c r="C303" s="113"/>
      <c r="D303" s="113"/>
      <c r="E303" s="113"/>
      <c r="F303" s="113"/>
      <c r="G303" s="113"/>
      <c r="H303" s="113"/>
      <c r="I303" s="113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  <c r="AC303" s="113"/>
      <c r="AD303" s="113"/>
      <c r="AE303" s="113"/>
    </row>
    <row r="304" ht="15.75" customHeight="1">
      <c r="A304" s="113"/>
      <c r="B304" s="113"/>
      <c r="C304" s="113"/>
      <c r="D304" s="113"/>
      <c r="E304" s="113"/>
      <c r="F304" s="113"/>
      <c r="G304" s="113"/>
      <c r="H304" s="113"/>
      <c r="I304" s="113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  <c r="AC304" s="113"/>
      <c r="AD304" s="113"/>
      <c r="AE304" s="113"/>
    </row>
    <row r="305" ht="15.75" customHeight="1">
      <c r="A305" s="113"/>
      <c r="B305" s="113"/>
      <c r="C305" s="113"/>
      <c r="D305" s="113"/>
      <c r="E305" s="113"/>
      <c r="F305" s="113"/>
      <c r="G305" s="113"/>
      <c r="H305" s="113"/>
      <c r="I305" s="113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  <c r="AC305" s="113"/>
      <c r="AD305" s="113"/>
      <c r="AE305" s="113"/>
    </row>
    <row r="306" ht="15.75" customHeight="1">
      <c r="A306" s="113"/>
      <c r="B306" s="113"/>
      <c r="C306" s="113"/>
      <c r="D306" s="113"/>
      <c r="E306" s="113"/>
      <c r="F306" s="113"/>
      <c r="G306" s="113"/>
      <c r="H306" s="113"/>
      <c r="I306" s="113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  <c r="AC306" s="113"/>
      <c r="AD306" s="113"/>
      <c r="AE306" s="113"/>
    </row>
    <row r="307" ht="15.75" customHeight="1">
      <c r="A307" s="113"/>
      <c r="B307" s="113"/>
      <c r="C307" s="113"/>
      <c r="D307" s="113"/>
      <c r="E307" s="113"/>
      <c r="F307" s="113"/>
      <c r="G307" s="113"/>
      <c r="H307" s="113"/>
      <c r="I307" s="113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  <c r="AC307" s="113"/>
      <c r="AD307" s="113"/>
      <c r="AE307" s="113"/>
    </row>
    <row r="308" ht="15.75" customHeight="1">
      <c r="A308" s="113"/>
      <c r="B308" s="113"/>
      <c r="C308" s="113"/>
      <c r="D308" s="113"/>
      <c r="E308" s="113"/>
      <c r="F308" s="113"/>
      <c r="G308" s="113"/>
      <c r="H308" s="113"/>
      <c r="I308" s="113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  <c r="AC308" s="113"/>
      <c r="AD308" s="113"/>
      <c r="AE308" s="113"/>
    </row>
    <row r="309" ht="15.75" customHeight="1">
      <c r="A309" s="113"/>
      <c r="B309" s="113"/>
      <c r="C309" s="113"/>
      <c r="D309" s="113"/>
      <c r="E309" s="113"/>
      <c r="F309" s="113"/>
      <c r="G309" s="113"/>
      <c r="H309" s="113"/>
      <c r="I309" s="113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  <c r="AC309" s="113"/>
      <c r="AD309" s="113"/>
      <c r="AE309" s="113"/>
    </row>
    <row r="310" ht="15.75" customHeight="1">
      <c r="A310" s="113"/>
      <c r="B310" s="113"/>
      <c r="C310" s="113"/>
      <c r="D310" s="113"/>
      <c r="E310" s="113"/>
      <c r="F310" s="113"/>
      <c r="G310" s="113"/>
      <c r="H310" s="113"/>
      <c r="I310" s="113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  <c r="AC310" s="113"/>
      <c r="AD310" s="113"/>
      <c r="AE310" s="113"/>
    </row>
    <row r="311" ht="15.75" customHeight="1">
      <c r="A311" s="113"/>
      <c r="B311" s="113"/>
      <c r="C311" s="113"/>
      <c r="D311" s="113"/>
      <c r="E311" s="113"/>
      <c r="F311" s="113"/>
      <c r="G311" s="113"/>
      <c r="H311" s="113"/>
      <c r="I311" s="113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  <c r="AC311" s="113"/>
      <c r="AD311" s="113"/>
      <c r="AE311" s="113"/>
    </row>
    <row r="312" ht="15.75" customHeight="1">
      <c r="A312" s="113"/>
      <c r="B312" s="113"/>
      <c r="C312" s="113"/>
      <c r="D312" s="113"/>
      <c r="E312" s="113"/>
      <c r="F312" s="113"/>
      <c r="G312" s="113"/>
      <c r="H312" s="113"/>
      <c r="I312" s="113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  <c r="AC312" s="113"/>
      <c r="AD312" s="113"/>
      <c r="AE312" s="113"/>
    </row>
    <row r="313" ht="15.75" customHeight="1">
      <c r="A313" s="113"/>
      <c r="B313" s="113"/>
      <c r="C313" s="113"/>
      <c r="D313" s="113"/>
      <c r="E313" s="113"/>
      <c r="F313" s="113"/>
      <c r="G313" s="113"/>
      <c r="H313" s="113"/>
      <c r="I313" s="113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  <c r="AC313" s="113"/>
      <c r="AD313" s="113"/>
      <c r="AE313" s="113"/>
    </row>
    <row r="314" ht="15.75" customHeight="1">
      <c r="A314" s="113"/>
      <c r="B314" s="113"/>
      <c r="C314" s="113"/>
      <c r="D314" s="113"/>
      <c r="E314" s="113"/>
      <c r="F314" s="113"/>
      <c r="G314" s="113"/>
      <c r="H314" s="113"/>
      <c r="I314" s="113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</row>
    <row r="315" ht="15.75" customHeight="1">
      <c r="A315" s="113"/>
      <c r="B315" s="113"/>
      <c r="C315" s="113"/>
      <c r="D315" s="113"/>
      <c r="E315" s="113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</row>
    <row r="316" ht="15.75" customHeight="1">
      <c r="A316" s="113"/>
      <c r="B316" s="113"/>
      <c r="C316" s="113"/>
      <c r="D316" s="113"/>
      <c r="E316" s="113"/>
      <c r="F316" s="113"/>
      <c r="G316" s="113"/>
      <c r="H316" s="113"/>
      <c r="I316" s="113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</row>
    <row r="317" ht="15.75" customHeight="1">
      <c r="A317" s="113"/>
      <c r="B317" s="113"/>
      <c r="C317" s="113"/>
      <c r="D317" s="113"/>
      <c r="E317" s="113"/>
      <c r="F317" s="113"/>
      <c r="G317" s="113"/>
      <c r="H317" s="113"/>
      <c r="I317" s="113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</row>
    <row r="318" ht="15.75" customHeight="1">
      <c r="A318" s="113"/>
      <c r="B318" s="113"/>
      <c r="C318" s="113"/>
      <c r="D318" s="113"/>
      <c r="E318" s="113"/>
      <c r="F318" s="113"/>
      <c r="G318" s="113"/>
      <c r="H318" s="113"/>
      <c r="I318" s="113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</row>
    <row r="319" ht="15.75" customHeight="1">
      <c r="A319" s="113"/>
      <c r="B319" s="113"/>
      <c r="C319" s="113"/>
      <c r="D319" s="113"/>
      <c r="E319" s="113"/>
      <c r="F319" s="113"/>
      <c r="G319" s="113"/>
      <c r="H319" s="113"/>
      <c r="I319" s="113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</row>
    <row r="320" ht="15.75" customHeight="1">
      <c r="A320" s="113"/>
      <c r="B320" s="113"/>
      <c r="C320" s="113"/>
      <c r="D320" s="113"/>
      <c r="E320" s="113"/>
      <c r="F320" s="113"/>
      <c r="G320" s="113"/>
      <c r="H320" s="113"/>
      <c r="I320" s="113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</row>
    <row r="321" ht="15.75" customHeight="1">
      <c r="A321" s="113"/>
      <c r="B321" s="113"/>
      <c r="C321" s="113"/>
      <c r="D321" s="113"/>
      <c r="E321" s="113"/>
      <c r="F321" s="113"/>
      <c r="G321" s="113"/>
      <c r="H321" s="113"/>
      <c r="I321" s="113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</row>
    <row r="322" ht="15.75" customHeight="1">
      <c r="A322" s="113"/>
      <c r="B322" s="113"/>
      <c r="C322" s="113"/>
      <c r="D322" s="113"/>
      <c r="E322" s="113"/>
      <c r="F322" s="113"/>
      <c r="G322" s="113"/>
      <c r="H322" s="113"/>
      <c r="I322" s="113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</row>
    <row r="323" ht="15.75" customHeight="1">
      <c r="A323" s="113"/>
      <c r="B323" s="113"/>
      <c r="C323" s="113"/>
      <c r="D323" s="113"/>
      <c r="E323" s="113"/>
      <c r="F323" s="113"/>
      <c r="G323" s="113"/>
      <c r="H323" s="113"/>
      <c r="I323" s="113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</row>
    <row r="324" ht="15.75" customHeight="1">
      <c r="A324" s="113"/>
      <c r="B324" s="113"/>
      <c r="C324" s="113"/>
      <c r="D324" s="113"/>
      <c r="E324" s="113"/>
      <c r="F324" s="113"/>
      <c r="G324" s="113"/>
      <c r="H324" s="113"/>
      <c r="I324" s="113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</row>
    <row r="325" ht="15.75" customHeight="1">
      <c r="A325" s="113"/>
      <c r="B325" s="113"/>
      <c r="C325" s="113"/>
      <c r="D325" s="113"/>
      <c r="E325" s="113"/>
      <c r="F325" s="113"/>
      <c r="G325" s="113"/>
      <c r="H325" s="113"/>
      <c r="I325" s="113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</row>
    <row r="326" ht="15.75" customHeight="1">
      <c r="A326" s="113"/>
      <c r="B326" s="113"/>
      <c r="C326" s="113"/>
      <c r="D326" s="113"/>
      <c r="E326" s="113"/>
      <c r="F326" s="113"/>
      <c r="G326" s="113"/>
      <c r="H326" s="113"/>
      <c r="I326" s="113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</row>
    <row r="327" ht="15.75" customHeight="1">
      <c r="A327" s="113"/>
      <c r="B327" s="113"/>
      <c r="C327" s="113"/>
      <c r="D327" s="113"/>
      <c r="E327" s="113"/>
      <c r="F327" s="113"/>
      <c r="G327" s="113"/>
      <c r="H327" s="113"/>
      <c r="I327" s="113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</row>
    <row r="328" ht="15.75" customHeight="1">
      <c r="A328" s="113"/>
      <c r="B328" s="113"/>
      <c r="C328" s="113"/>
      <c r="D328" s="113"/>
      <c r="E328" s="113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</row>
    <row r="329" ht="15.75" customHeight="1">
      <c r="A329" s="113"/>
      <c r="B329" s="113"/>
      <c r="C329" s="113"/>
      <c r="D329" s="113"/>
      <c r="E329" s="113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</row>
    <row r="330" ht="15.75" customHeight="1">
      <c r="A330" s="113"/>
      <c r="B330" s="113"/>
      <c r="C330" s="113"/>
      <c r="D330" s="113"/>
      <c r="E330" s="113"/>
      <c r="F330" s="113"/>
      <c r="G330" s="113"/>
      <c r="H330" s="113"/>
      <c r="I330" s="113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  <c r="AC330" s="113"/>
      <c r="AD330" s="113"/>
      <c r="AE330" s="113"/>
    </row>
    <row r="331" ht="15.75" customHeight="1">
      <c r="A331" s="113"/>
      <c r="B331" s="113"/>
      <c r="C331" s="113"/>
      <c r="D331" s="113"/>
      <c r="E331" s="113"/>
      <c r="F331" s="113"/>
      <c r="G331" s="113"/>
      <c r="H331" s="113"/>
      <c r="I331" s="113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  <c r="AC331" s="113"/>
      <c r="AD331" s="113"/>
      <c r="AE331" s="113"/>
    </row>
    <row r="332" ht="15.75" customHeight="1">
      <c r="A332" s="113"/>
      <c r="B332" s="113"/>
      <c r="C332" s="113"/>
      <c r="D332" s="113"/>
      <c r="E332" s="113"/>
      <c r="F332" s="113"/>
      <c r="G332" s="113"/>
      <c r="H332" s="113"/>
      <c r="I332" s="113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  <c r="AC332" s="113"/>
      <c r="AD332" s="113"/>
      <c r="AE332" s="113"/>
    </row>
    <row r="333" ht="15.75" customHeight="1">
      <c r="A333" s="113"/>
      <c r="B333" s="113"/>
      <c r="C333" s="113"/>
      <c r="D333" s="113"/>
      <c r="E333" s="113"/>
      <c r="F333" s="113"/>
      <c r="G333" s="113"/>
      <c r="H333" s="113"/>
      <c r="I333" s="113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  <c r="AC333" s="113"/>
      <c r="AD333" s="113"/>
      <c r="AE333" s="113"/>
    </row>
    <row r="334" ht="15.75" customHeight="1">
      <c r="A334" s="113"/>
      <c r="B334" s="113"/>
      <c r="C334" s="113"/>
      <c r="D334" s="113"/>
      <c r="E334" s="113"/>
      <c r="F334" s="113"/>
      <c r="G334" s="113"/>
      <c r="H334" s="113"/>
      <c r="I334" s="113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  <c r="AC334" s="113"/>
      <c r="AD334" s="113"/>
      <c r="AE334" s="113"/>
    </row>
    <row r="335" ht="15.75" customHeight="1">
      <c r="A335" s="113"/>
      <c r="B335" s="113"/>
      <c r="C335" s="113"/>
      <c r="D335" s="113"/>
      <c r="E335" s="113"/>
      <c r="F335" s="113"/>
      <c r="G335" s="113"/>
      <c r="H335" s="113"/>
      <c r="I335" s="113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</row>
    <row r="336" ht="15.75" customHeight="1">
      <c r="A336" s="113"/>
      <c r="B336" s="113"/>
      <c r="C336" s="113"/>
      <c r="D336" s="113"/>
      <c r="E336" s="113"/>
      <c r="F336" s="113"/>
      <c r="G336" s="113"/>
      <c r="H336" s="113"/>
      <c r="I336" s="113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</row>
    <row r="337" ht="15.75" customHeight="1">
      <c r="A337" s="113"/>
      <c r="B337" s="113"/>
      <c r="C337" s="113"/>
      <c r="D337" s="113"/>
      <c r="E337" s="113"/>
      <c r="F337" s="113"/>
      <c r="G337" s="113"/>
      <c r="H337" s="113"/>
      <c r="I337" s="113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</row>
    <row r="338" ht="15.75" customHeight="1">
      <c r="A338" s="113"/>
      <c r="B338" s="113"/>
      <c r="C338" s="113"/>
      <c r="D338" s="113"/>
      <c r="E338" s="113"/>
      <c r="F338" s="113"/>
      <c r="G338" s="113"/>
      <c r="H338" s="113"/>
      <c r="I338" s="113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</row>
    <row r="339" ht="15.75" customHeight="1">
      <c r="A339" s="113"/>
      <c r="B339" s="113"/>
      <c r="C339" s="113"/>
      <c r="D339" s="113"/>
      <c r="E339" s="113"/>
      <c r="F339" s="113"/>
      <c r="G339" s="113"/>
      <c r="H339" s="113"/>
      <c r="I339" s="113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</row>
    <row r="340" ht="15.75" customHeight="1">
      <c r="A340" s="113"/>
      <c r="B340" s="113"/>
      <c r="C340" s="113"/>
      <c r="D340" s="113"/>
      <c r="E340" s="113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</row>
    <row r="341" ht="15.75" customHeight="1">
      <c r="A341" s="113"/>
      <c r="B341" s="113"/>
      <c r="C341" s="113"/>
      <c r="D341" s="113"/>
      <c r="E341" s="113"/>
      <c r="F341" s="113"/>
      <c r="G341" s="113"/>
      <c r="H341" s="113"/>
      <c r="I341" s="113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</row>
    <row r="342" ht="15.75" customHeight="1">
      <c r="A342" s="113"/>
      <c r="B342" s="113"/>
      <c r="C342" s="113"/>
      <c r="D342" s="113"/>
      <c r="E342" s="113"/>
      <c r="F342" s="113"/>
      <c r="G342" s="113"/>
      <c r="H342" s="113"/>
      <c r="I342" s="113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</row>
    <row r="343" ht="15.75" customHeight="1">
      <c r="A343" s="113"/>
      <c r="B343" s="113"/>
      <c r="C343" s="113"/>
      <c r="D343" s="113"/>
      <c r="E343" s="113"/>
      <c r="F343" s="113"/>
      <c r="G343" s="113"/>
      <c r="H343" s="113"/>
      <c r="I343" s="113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</row>
    <row r="344" ht="15.75" customHeight="1">
      <c r="A344" s="113"/>
      <c r="B344" s="113"/>
      <c r="C344" s="113"/>
      <c r="D344" s="113"/>
      <c r="E344" s="113"/>
      <c r="F344" s="113"/>
      <c r="G344" s="113"/>
      <c r="H344" s="113"/>
      <c r="I344" s="113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</row>
    <row r="345" ht="15.75" customHeight="1">
      <c r="A345" s="113"/>
      <c r="B345" s="113"/>
      <c r="C345" s="113"/>
      <c r="D345" s="113"/>
      <c r="E345" s="113"/>
      <c r="F345" s="113"/>
      <c r="G345" s="113"/>
      <c r="H345" s="113"/>
      <c r="I345" s="113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</row>
    <row r="346" ht="15.75" customHeight="1">
      <c r="A346" s="113"/>
      <c r="B346" s="113"/>
      <c r="C346" s="113"/>
      <c r="D346" s="113"/>
      <c r="E346" s="113"/>
      <c r="F346" s="113"/>
      <c r="G346" s="113"/>
      <c r="H346" s="113"/>
      <c r="I346" s="113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</row>
    <row r="347" ht="15.75" customHeight="1">
      <c r="A347" s="113"/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</row>
    <row r="348" ht="15.75" customHeight="1">
      <c r="A348" s="113"/>
      <c r="B348" s="113"/>
      <c r="C348" s="113"/>
      <c r="D348" s="113"/>
      <c r="E348" s="113"/>
      <c r="F348" s="113"/>
      <c r="G348" s="113"/>
      <c r="H348" s="113"/>
      <c r="I348" s="113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</row>
    <row r="349" ht="15.75" customHeight="1">
      <c r="A349" s="113"/>
      <c r="B349" s="113"/>
      <c r="C349" s="113"/>
      <c r="D349" s="113"/>
      <c r="E349" s="113"/>
      <c r="F349" s="113"/>
      <c r="G349" s="113"/>
      <c r="H349" s="113"/>
      <c r="I349" s="113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</row>
    <row r="350" ht="15.75" customHeight="1">
      <c r="A350" s="113"/>
      <c r="B350" s="113"/>
      <c r="C350" s="113"/>
      <c r="D350" s="113"/>
      <c r="E350" s="113"/>
      <c r="F350" s="113"/>
      <c r="G350" s="113"/>
      <c r="H350" s="113"/>
      <c r="I350" s="113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</row>
    <row r="351" ht="15.75" customHeight="1">
      <c r="A351" s="113"/>
      <c r="B351" s="113"/>
      <c r="C351" s="113"/>
      <c r="D351" s="113"/>
      <c r="E351" s="113"/>
      <c r="F351" s="113"/>
      <c r="G351" s="113"/>
      <c r="H351" s="113"/>
      <c r="I351" s="113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</row>
    <row r="352" ht="15.75" customHeight="1">
      <c r="A352" s="113"/>
      <c r="B352" s="113"/>
      <c r="C352" s="113"/>
      <c r="D352" s="113"/>
      <c r="E352" s="113"/>
      <c r="F352" s="113"/>
      <c r="G352" s="113"/>
      <c r="H352" s="113"/>
      <c r="I352" s="113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</row>
    <row r="353" ht="15.75" customHeight="1">
      <c r="A353" s="113"/>
      <c r="B353" s="113"/>
      <c r="C353" s="113"/>
      <c r="D353" s="113"/>
      <c r="E353" s="113"/>
      <c r="F353" s="113"/>
      <c r="G353" s="113"/>
      <c r="H353" s="113"/>
      <c r="I353" s="113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</row>
    <row r="354" ht="15.75" customHeight="1">
      <c r="A354" s="113"/>
      <c r="B354" s="113"/>
      <c r="C354" s="113"/>
      <c r="D354" s="113"/>
      <c r="E354" s="113"/>
      <c r="F354" s="113"/>
      <c r="G354" s="113"/>
      <c r="H354" s="113"/>
      <c r="I354" s="113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</row>
    <row r="355" ht="15.75" customHeight="1">
      <c r="A355" s="113"/>
      <c r="B355" s="113"/>
      <c r="C355" s="113"/>
      <c r="D355" s="113"/>
      <c r="E355" s="113"/>
      <c r="F355" s="113"/>
      <c r="G355" s="113"/>
      <c r="H355" s="113"/>
      <c r="I355" s="113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</row>
    <row r="356" ht="15.75" customHeight="1">
      <c r="A356" s="113"/>
      <c r="B356" s="113"/>
      <c r="C356" s="113"/>
      <c r="D356" s="113"/>
      <c r="E356" s="113"/>
      <c r="F356" s="113"/>
      <c r="G356" s="113"/>
      <c r="H356" s="113"/>
      <c r="I356" s="113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</row>
    <row r="357" ht="15.75" customHeight="1">
      <c r="A357" s="113"/>
      <c r="B357" s="113"/>
      <c r="C357" s="113"/>
      <c r="D357" s="113"/>
      <c r="E357" s="113"/>
      <c r="F357" s="113"/>
      <c r="G357" s="113"/>
      <c r="H357" s="113"/>
      <c r="I357" s="113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</row>
    <row r="358" ht="15.75" customHeight="1">
      <c r="A358" s="113"/>
      <c r="B358" s="113"/>
      <c r="C358" s="113"/>
      <c r="D358" s="113"/>
      <c r="E358" s="113"/>
      <c r="F358" s="113"/>
      <c r="G358" s="113"/>
      <c r="H358" s="113"/>
      <c r="I358" s="113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</row>
    <row r="359" ht="15.75" customHeight="1">
      <c r="A359" s="113"/>
      <c r="B359" s="113"/>
      <c r="C359" s="113"/>
      <c r="D359" s="113"/>
      <c r="E359" s="113"/>
      <c r="F359" s="113"/>
      <c r="G359" s="113"/>
      <c r="H359" s="113"/>
      <c r="I359" s="113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</row>
    <row r="360" ht="15.75" customHeight="1">
      <c r="A360" s="113"/>
      <c r="B360" s="113"/>
      <c r="C360" s="113"/>
      <c r="D360" s="113"/>
      <c r="E360" s="113"/>
      <c r="F360" s="113"/>
      <c r="G360" s="113"/>
      <c r="H360" s="113"/>
      <c r="I360" s="113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</row>
    <row r="361" ht="15.75" customHeight="1">
      <c r="A361" s="113"/>
      <c r="B361" s="113"/>
      <c r="C361" s="113"/>
      <c r="D361" s="113"/>
      <c r="E361" s="11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</row>
    <row r="362" ht="15.75" customHeight="1">
      <c r="A362" s="113"/>
      <c r="B362" s="113"/>
      <c r="C362" s="113"/>
      <c r="D362" s="113"/>
      <c r="E362" s="11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</row>
    <row r="363" ht="15.75" customHeight="1">
      <c r="A363" s="113"/>
      <c r="B363" s="113"/>
      <c r="C363" s="113"/>
      <c r="D363" s="113"/>
      <c r="E363" s="11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</row>
    <row r="364" ht="15.75" customHeight="1">
      <c r="A364" s="113"/>
      <c r="B364" s="113"/>
      <c r="C364" s="113"/>
      <c r="D364" s="113"/>
      <c r="E364" s="113"/>
      <c r="F364" s="113"/>
      <c r="G364" s="113"/>
      <c r="H364" s="113"/>
      <c r="I364" s="113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</row>
    <row r="365" ht="15.75" customHeight="1">
      <c r="A365" s="113"/>
      <c r="B365" s="113"/>
      <c r="C365" s="113"/>
      <c r="D365" s="113"/>
      <c r="E365" s="113"/>
      <c r="F365" s="113"/>
      <c r="G365" s="113"/>
      <c r="H365" s="113"/>
      <c r="I365" s="113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</row>
    <row r="366" ht="15.75" customHeight="1">
      <c r="A366" s="113"/>
      <c r="B366" s="113"/>
      <c r="C366" s="113"/>
      <c r="D366" s="113"/>
      <c r="E366" s="113"/>
      <c r="F366" s="113"/>
      <c r="G366" s="113"/>
      <c r="H366" s="113"/>
      <c r="I366" s="113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</row>
    <row r="367" ht="15.75" customHeight="1">
      <c r="A367" s="113"/>
      <c r="B367" s="113"/>
      <c r="C367" s="113"/>
      <c r="D367" s="113"/>
      <c r="E367" s="113"/>
      <c r="F367" s="113"/>
      <c r="G367" s="113"/>
      <c r="H367" s="113"/>
      <c r="I367" s="113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</row>
    <row r="368" ht="15.75" customHeight="1">
      <c r="A368" s="113"/>
      <c r="B368" s="113"/>
      <c r="C368" s="113"/>
      <c r="D368" s="113"/>
      <c r="E368" s="113"/>
      <c r="F368" s="113"/>
      <c r="G368" s="113"/>
      <c r="H368" s="113"/>
      <c r="I368" s="113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</row>
    <row r="369" ht="15.75" customHeight="1">
      <c r="A369" s="113"/>
      <c r="B369" s="113"/>
      <c r="C369" s="113"/>
      <c r="D369" s="113"/>
      <c r="E369" s="113"/>
      <c r="F369" s="113"/>
      <c r="G369" s="113"/>
      <c r="H369" s="113"/>
      <c r="I369" s="113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</row>
    <row r="370" ht="15.75" customHeight="1">
      <c r="A370" s="113"/>
      <c r="B370" s="113"/>
      <c r="C370" s="113"/>
      <c r="D370" s="113"/>
      <c r="E370" s="113"/>
      <c r="F370" s="113"/>
      <c r="G370" s="113"/>
      <c r="H370" s="113"/>
      <c r="I370" s="113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</row>
    <row r="371" ht="15.75" customHeight="1">
      <c r="A371" s="113"/>
      <c r="B371" s="113"/>
      <c r="C371" s="113"/>
      <c r="D371" s="113"/>
      <c r="E371" s="113"/>
      <c r="F371" s="113"/>
      <c r="G371" s="113"/>
      <c r="H371" s="113"/>
      <c r="I371" s="113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</row>
    <row r="372" ht="15.75" customHeight="1">
      <c r="A372" s="113"/>
      <c r="B372" s="113"/>
      <c r="C372" s="113"/>
      <c r="D372" s="113"/>
      <c r="E372" s="113"/>
      <c r="F372" s="113"/>
      <c r="G372" s="113"/>
      <c r="H372" s="113"/>
      <c r="I372" s="113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</row>
    <row r="373" ht="15.75" customHeight="1">
      <c r="A373" s="113"/>
      <c r="B373" s="113"/>
      <c r="C373" s="113"/>
      <c r="D373" s="113"/>
      <c r="E373" s="113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</row>
    <row r="374" ht="15.75" customHeight="1">
      <c r="A374" s="113"/>
      <c r="B374" s="113"/>
      <c r="C374" s="113"/>
      <c r="D374" s="113"/>
      <c r="E374" s="113"/>
      <c r="F374" s="113"/>
      <c r="G374" s="113"/>
      <c r="H374" s="113"/>
      <c r="I374" s="113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</row>
    <row r="375" ht="15.75" customHeight="1">
      <c r="A375" s="113"/>
      <c r="B375" s="113"/>
      <c r="C375" s="113"/>
      <c r="D375" s="113"/>
      <c r="E375" s="113"/>
      <c r="F375" s="113"/>
      <c r="G375" s="113"/>
      <c r="H375" s="113"/>
      <c r="I375" s="113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</row>
    <row r="376" ht="15.75" customHeight="1">
      <c r="A376" s="113"/>
      <c r="B376" s="113"/>
      <c r="C376" s="113"/>
      <c r="D376" s="113"/>
      <c r="E376" s="113"/>
      <c r="F376" s="113"/>
      <c r="G376" s="113"/>
      <c r="H376" s="113"/>
      <c r="I376" s="113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</row>
    <row r="377" ht="15.75" customHeight="1">
      <c r="A377" s="113"/>
      <c r="B377" s="113"/>
      <c r="C377" s="113"/>
      <c r="D377" s="113"/>
      <c r="E377" s="113"/>
      <c r="F377" s="113"/>
      <c r="G377" s="113"/>
      <c r="H377" s="113"/>
      <c r="I377" s="113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</row>
    <row r="378" ht="15.75" customHeight="1">
      <c r="A378" s="113"/>
      <c r="B378" s="113"/>
      <c r="C378" s="113"/>
      <c r="D378" s="113"/>
      <c r="E378" s="113"/>
      <c r="F378" s="113"/>
      <c r="G378" s="113"/>
      <c r="H378" s="113"/>
      <c r="I378" s="113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</row>
    <row r="379" ht="15.75" customHeight="1">
      <c r="A379" s="113"/>
      <c r="B379" s="113"/>
      <c r="C379" s="113"/>
      <c r="D379" s="113"/>
      <c r="E379" s="113"/>
      <c r="F379" s="113"/>
      <c r="G379" s="113"/>
      <c r="H379" s="113"/>
      <c r="I379" s="113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</row>
    <row r="380" ht="15.75" customHeight="1">
      <c r="A380" s="113"/>
      <c r="B380" s="113"/>
      <c r="C380" s="113"/>
      <c r="D380" s="113"/>
      <c r="E380" s="113"/>
      <c r="F380" s="113"/>
      <c r="G380" s="113"/>
      <c r="H380" s="113"/>
      <c r="I380" s="113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</row>
    <row r="381" ht="15.75" customHeight="1">
      <c r="A381" s="113"/>
      <c r="B381" s="113"/>
      <c r="C381" s="113"/>
      <c r="D381" s="113"/>
      <c r="E381" s="113"/>
      <c r="F381" s="113"/>
      <c r="G381" s="113"/>
      <c r="H381" s="113"/>
      <c r="I381" s="113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</row>
    <row r="382" ht="15.75" customHeight="1">
      <c r="A382" s="113"/>
      <c r="B382" s="113"/>
      <c r="C382" s="113"/>
      <c r="D382" s="113"/>
      <c r="E382" s="113"/>
      <c r="F382" s="113"/>
      <c r="G382" s="113"/>
      <c r="H382" s="113"/>
      <c r="I382" s="113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</row>
    <row r="383" ht="15.75" customHeight="1">
      <c r="A383" s="113"/>
      <c r="B383" s="113"/>
      <c r="C383" s="113"/>
      <c r="D383" s="113"/>
      <c r="E383" s="113"/>
      <c r="F383" s="113"/>
      <c r="G383" s="113"/>
      <c r="H383" s="113"/>
      <c r="I383" s="113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</row>
    <row r="384" ht="15.75" customHeight="1">
      <c r="A384" s="113"/>
      <c r="B384" s="113"/>
      <c r="C384" s="113"/>
      <c r="D384" s="113"/>
      <c r="E384" s="113"/>
      <c r="F384" s="113"/>
      <c r="G384" s="113"/>
      <c r="H384" s="113"/>
      <c r="I384" s="113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</row>
    <row r="385" ht="15.75" customHeight="1">
      <c r="A385" s="113"/>
      <c r="B385" s="113"/>
      <c r="C385" s="113"/>
      <c r="D385" s="113"/>
      <c r="E385" s="113"/>
      <c r="F385" s="113"/>
      <c r="G385" s="113"/>
      <c r="H385" s="113"/>
      <c r="I385" s="113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</row>
    <row r="386" ht="15.75" customHeight="1">
      <c r="A386" s="113"/>
      <c r="B386" s="113"/>
      <c r="C386" s="113"/>
      <c r="D386" s="113"/>
      <c r="E386" s="113"/>
      <c r="F386" s="113"/>
      <c r="G386" s="113"/>
      <c r="H386" s="113"/>
      <c r="I386" s="113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</row>
    <row r="387" ht="15.75" customHeight="1">
      <c r="A387" s="113"/>
      <c r="B387" s="113"/>
      <c r="C387" s="113"/>
      <c r="D387" s="113"/>
      <c r="E387" s="113"/>
      <c r="F387" s="113"/>
      <c r="G387" s="113"/>
      <c r="H387" s="113"/>
      <c r="I387" s="113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</row>
    <row r="388" ht="15.75" customHeight="1">
      <c r="A388" s="113"/>
      <c r="B388" s="113"/>
      <c r="C388" s="113"/>
      <c r="D388" s="113"/>
      <c r="E388" s="113"/>
      <c r="F388" s="113"/>
      <c r="G388" s="113"/>
      <c r="H388" s="113"/>
      <c r="I388" s="113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</row>
    <row r="389" ht="15.75" customHeight="1">
      <c r="A389" s="113"/>
      <c r="B389" s="113"/>
      <c r="C389" s="113"/>
      <c r="D389" s="113"/>
      <c r="E389" s="113"/>
      <c r="F389" s="113"/>
      <c r="G389" s="113"/>
      <c r="H389" s="113"/>
      <c r="I389" s="113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</row>
    <row r="390" ht="15.75" customHeight="1">
      <c r="A390" s="113"/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</row>
    <row r="391" ht="15.75" customHeight="1">
      <c r="A391" s="113"/>
      <c r="B391" s="113"/>
      <c r="C391" s="113"/>
      <c r="D391" s="113"/>
      <c r="E391" s="113"/>
      <c r="F391" s="113"/>
      <c r="G391" s="113"/>
      <c r="H391" s="113"/>
      <c r="I391" s="113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</row>
    <row r="392" ht="15.75" customHeight="1">
      <c r="A392" s="113"/>
      <c r="B392" s="113"/>
      <c r="C392" s="113"/>
      <c r="D392" s="113"/>
      <c r="E392" s="113"/>
      <c r="F392" s="113"/>
      <c r="G392" s="113"/>
      <c r="H392" s="113"/>
      <c r="I392" s="113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</row>
    <row r="393" ht="15.75" customHeight="1">
      <c r="A393" s="113"/>
      <c r="B393" s="113"/>
      <c r="C393" s="113"/>
      <c r="D393" s="113"/>
      <c r="E393" s="113"/>
      <c r="F393" s="113"/>
      <c r="G393" s="113"/>
      <c r="H393" s="113"/>
      <c r="I393" s="113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</row>
    <row r="394" ht="15.75" customHeight="1">
      <c r="A394" s="113"/>
      <c r="B394" s="113"/>
      <c r="C394" s="113"/>
      <c r="D394" s="113"/>
      <c r="E394" s="113"/>
      <c r="F394" s="113"/>
      <c r="G394" s="113"/>
      <c r="H394" s="113"/>
      <c r="I394" s="113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</row>
    <row r="395" ht="15.75" customHeight="1">
      <c r="A395" s="113"/>
      <c r="B395" s="113"/>
      <c r="C395" s="113"/>
      <c r="D395" s="113"/>
      <c r="E395" s="113"/>
      <c r="F395" s="113"/>
      <c r="G395" s="113"/>
      <c r="H395" s="113"/>
      <c r="I395" s="113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</row>
    <row r="396" ht="15.75" customHeight="1">
      <c r="A396" s="113"/>
      <c r="B396" s="113"/>
      <c r="C396" s="113"/>
      <c r="D396" s="113"/>
      <c r="E396" s="113"/>
      <c r="F396" s="113"/>
      <c r="G396" s="113"/>
      <c r="H396" s="113"/>
      <c r="I396" s="113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</row>
    <row r="397" ht="15.75" customHeight="1">
      <c r="A397" s="113"/>
      <c r="B397" s="113"/>
      <c r="C397" s="113"/>
      <c r="D397" s="113"/>
      <c r="E397" s="113"/>
      <c r="F397" s="113"/>
      <c r="G397" s="113"/>
      <c r="H397" s="113"/>
      <c r="I397" s="113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</row>
    <row r="398" ht="15.75" customHeight="1">
      <c r="A398" s="113"/>
      <c r="B398" s="113"/>
      <c r="C398" s="113"/>
      <c r="D398" s="113"/>
      <c r="E398" s="113"/>
      <c r="F398" s="113"/>
      <c r="G398" s="113"/>
      <c r="H398" s="113"/>
      <c r="I398" s="113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</row>
    <row r="399" ht="15.75" customHeight="1">
      <c r="A399" s="113"/>
      <c r="B399" s="113"/>
      <c r="C399" s="113"/>
      <c r="D399" s="113"/>
      <c r="E399" s="113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</row>
    <row r="400" ht="15.75" customHeight="1">
      <c r="A400" s="113"/>
      <c r="B400" s="113"/>
      <c r="C400" s="113"/>
      <c r="D400" s="113"/>
      <c r="E400" s="113"/>
      <c r="F400" s="113"/>
      <c r="G400" s="113"/>
      <c r="H400" s="113"/>
      <c r="I400" s="113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</row>
    <row r="401" ht="15.75" customHeight="1">
      <c r="A401" s="113"/>
      <c r="B401" s="113"/>
      <c r="C401" s="113"/>
      <c r="D401" s="113"/>
      <c r="E401" s="113"/>
      <c r="F401" s="113"/>
      <c r="G401" s="113"/>
      <c r="H401" s="113"/>
      <c r="I401" s="113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</row>
    <row r="402" ht="15.75" customHeight="1">
      <c r="A402" s="113"/>
      <c r="B402" s="113"/>
      <c r="C402" s="113"/>
      <c r="D402" s="113"/>
      <c r="E402" s="113"/>
      <c r="F402" s="113"/>
      <c r="G402" s="113"/>
      <c r="H402" s="113"/>
      <c r="I402" s="113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</row>
    <row r="403" ht="15.75" customHeight="1">
      <c r="A403" s="113"/>
      <c r="B403" s="113"/>
      <c r="C403" s="113"/>
      <c r="D403" s="113"/>
      <c r="E403" s="113"/>
      <c r="F403" s="113"/>
      <c r="G403" s="113"/>
      <c r="H403" s="113"/>
      <c r="I403" s="113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</row>
    <row r="404" ht="15.75" customHeight="1">
      <c r="A404" s="113"/>
      <c r="B404" s="113"/>
      <c r="C404" s="113"/>
      <c r="D404" s="113"/>
      <c r="E404" s="113"/>
      <c r="F404" s="113"/>
      <c r="G404" s="113"/>
      <c r="H404" s="113"/>
      <c r="I404" s="113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</row>
    <row r="405" ht="15.75" customHeight="1">
      <c r="A405" s="113"/>
      <c r="B405" s="113"/>
      <c r="C405" s="113"/>
      <c r="D405" s="113"/>
      <c r="E405" s="113"/>
      <c r="F405" s="113"/>
      <c r="G405" s="113"/>
      <c r="H405" s="113"/>
      <c r="I405" s="113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</row>
    <row r="406" ht="15.75" customHeight="1">
      <c r="A406" s="113"/>
      <c r="B406" s="113"/>
      <c r="C406" s="113"/>
      <c r="D406" s="113"/>
      <c r="E406" s="113"/>
      <c r="F406" s="113"/>
      <c r="G406" s="113"/>
      <c r="H406" s="113"/>
      <c r="I406" s="113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</row>
    <row r="407" ht="15.75" customHeight="1">
      <c r="A407" s="113"/>
      <c r="B407" s="113"/>
      <c r="C407" s="113"/>
      <c r="D407" s="113"/>
      <c r="E407" s="113"/>
      <c r="F407" s="113"/>
      <c r="G407" s="113"/>
      <c r="H407" s="113"/>
      <c r="I407" s="113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</row>
    <row r="408" ht="15.75" customHeight="1">
      <c r="A408" s="113"/>
      <c r="B408" s="113"/>
      <c r="C408" s="113"/>
      <c r="D408" s="113"/>
      <c r="E408" s="113"/>
      <c r="F408" s="113"/>
      <c r="G408" s="113"/>
      <c r="H408" s="113"/>
      <c r="I408" s="113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</row>
    <row r="409" ht="15.75" customHeight="1">
      <c r="A409" s="113"/>
      <c r="B409" s="113"/>
      <c r="C409" s="113"/>
      <c r="D409" s="113"/>
      <c r="E409" s="113"/>
      <c r="F409" s="113"/>
      <c r="G409" s="113"/>
      <c r="H409" s="113"/>
      <c r="I409" s="113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</row>
    <row r="410" ht="15.75" customHeight="1">
      <c r="A410" s="113"/>
      <c r="B410" s="113"/>
      <c r="C410" s="113"/>
      <c r="D410" s="113"/>
      <c r="E410" s="113"/>
      <c r="F410" s="113"/>
      <c r="G410" s="113"/>
      <c r="H410" s="113"/>
      <c r="I410" s="113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</row>
    <row r="411" ht="15.75" customHeight="1">
      <c r="A411" s="113"/>
      <c r="B411" s="113"/>
      <c r="C411" s="113"/>
      <c r="D411" s="113"/>
      <c r="E411" s="113"/>
      <c r="F411" s="113"/>
      <c r="G411" s="113"/>
      <c r="H411" s="113"/>
      <c r="I411" s="113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</row>
    <row r="412" ht="15.75" customHeight="1">
      <c r="A412" s="113"/>
      <c r="B412" s="113"/>
      <c r="C412" s="113"/>
      <c r="D412" s="113"/>
      <c r="E412" s="113"/>
      <c r="F412" s="113"/>
      <c r="G412" s="113"/>
      <c r="H412" s="113"/>
      <c r="I412" s="113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</row>
    <row r="413" ht="15.75" customHeight="1">
      <c r="A413" s="113"/>
      <c r="B413" s="113"/>
      <c r="C413" s="113"/>
      <c r="D413" s="113"/>
      <c r="E413" s="113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</row>
    <row r="414" ht="15.75" customHeight="1">
      <c r="A414" s="113"/>
      <c r="B414" s="113"/>
      <c r="C414" s="113"/>
      <c r="D414" s="113"/>
      <c r="E414" s="113"/>
      <c r="F414" s="113"/>
      <c r="G414" s="113"/>
      <c r="H414" s="113"/>
      <c r="I414" s="113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</row>
    <row r="415" ht="15.75" customHeight="1">
      <c r="A415" s="113"/>
      <c r="B415" s="113"/>
      <c r="C415" s="113"/>
      <c r="D415" s="113"/>
      <c r="E415" s="113"/>
      <c r="F415" s="113"/>
      <c r="G415" s="113"/>
      <c r="H415" s="113"/>
      <c r="I415" s="113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  <c r="AC415" s="113"/>
      <c r="AD415" s="113"/>
      <c r="AE415" s="113"/>
    </row>
    <row r="416" ht="15.75" customHeight="1">
      <c r="A416" s="113"/>
      <c r="B416" s="113"/>
      <c r="C416" s="113"/>
      <c r="D416" s="113"/>
      <c r="E416" s="113"/>
      <c r="F416" s="113"/>
      <c r="G416" s="113"/>
      <c r="H416" s="113"/>
      <c r="I416" s="113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  <c r="AC416" s="113"/>
      <c r="AD416" s="113"/>
      <c r="AE416" s="113"/>
    </row>
    <row r="417" ht="15.75" customHeight="1">
      <c r="A417" s="113"/>
      <c r="B417" s="113"/>
      <c r="C417" s="113"/>
      <c r="D417" s="113"/>
      <c r="E417" s="113"/>
      <c r="F417" s="113"/>
      <c r="G417" s="113"/>
      <c r="H417" s="113"/>
      <c r="I417" s="113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  <c r="AC417" s="113"/>
      <c r="AD417" s="113"/>
      <c r="AE417" s="113"/>
    </row>
    <row r="418" ht="15.75" customHeight="1">
      <c r="A418" s="113"/>
      <c r="B418" s="113"/>
      <c r="C418" s="113"/>
      <c r="D418" s="113"/>
      <c r="E418" s="113"/>
      <c r="F418" s="113"/>
      <c r="G418" s="113"/>
      <c r="H418" s="113"/>
      <c r="I418" s="113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  <c r="AC418" s="113"/>
      <c r="AD418" s="113"/>
      <c r="AE418" s="113"/>
    </row>
    <row r="419" ht="15.75" customHeight="1">
      <c r="A419" s="113"/>
      <c r="B419" s="113"/>
      <c r="C419" s="113"/>
      <c r="D419" s="113"/>
      <c r="E419" s="11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  <c r="AC419" s="113"/>
      <c r="AD419" s="113"/>
      <c r="AE419" s="113"/>
    </row>
    <row r="420" ht="15.75" customHeight="1">
      <c r="A420" s="113"/>
      <c r="B420" s="113"/>
      <c r="C420" s="113"/>
      <c r="D420" s="113"/>
      <c r="E420" s="113"/>
      <c r="F420" s="113"/>
      <c r="G420" s="113"/>
      <c r="H420" s="113"/>
      <c r="I420" s="113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  <c r="AC420" s="113"/>
      <c r="AD420" s="113"/>
      <c r="AE420" s="113"/>
    </row>
    <row r="421" ht="15.75" customHeight="1">
      <c r="A421" s="113"/>
      <c r="B421" s="113"/>
      <c r="C421" s="113"/>
      <c r="D421" s="113"/>
      <c r="E421" s="113"/>
      <c r="F421" s="113"/>
      <c r="G421" s="113"/>
      <c r="H421" s="113"/>
      <c r="I421" s="113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  <c r="AC421" s="113"/>
      <c r="AD421" s="113"/>
      <c r="AE421" s="113"/>
    </row>
    <row r="422" ht="15.75" customHeight="1">
      <c r="A422" s="113"/>
      <c r="B422" s="113"/>
      <c r="C422" s="113"/>
      <c r="D422" s="113"/>
      <c r="E422" s="113"/>
      <c r="F422" s="113"/>
      <c r="G422" s="113"/>
      <c r="H422" s="113"/>
      <c r="I422" s="113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  <c r="AC422" s="113"/>
      <c r="AD422" s="113"/>
      <c r="AE422" s="113"/>
    </row>
    <row r="423" ht="15.75" customHeight="1">
      <c r="A423" s="113"/>
      <c r="B423" s="113"/>
      <c r="C423" s="113"/>
      <c r="D423" s="113"/>
      <c r="E423" s="113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  <c r="AC423" s="113"/>
      <c r="AD423" s="113"/>
      <c r="AE423" s="113"/>
    </row>
    <row r="424" ht="15.75" customHeight="1">
      <c r="A424" s="113"/>
      <c r="B424" s="113"/>
      <c r="C424" s="113"/>
      <c r="D424" s="113"/>
      <c r="E424" s="113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  <c r="AC424" s="113"/>
      <c r="AD424" s="113"/>
      <c r="AE424" s="113"/>
    </row>
    <row r="425" ht="15.75" customHeight="1">
      <c r="A425" s="113"/>
      <c r="B425" s="113"/>
      <c r="C425" s="113"/>
      <c r="D425" s="113"/>
      <c r="E425" s="113"/>
      <c r="F425" s="113"/>
      <c r="G425" s="113"/>
      <c r="H425" s="113"/>
      <c r="I425" s="113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  <c r="AC425" s="113"/>
      <c r="AD425" s="113"/>
      <c r="AE425" s="113"/>
    </row>
    <row r="426" ht="15.75" customHeight="1">
      <c r="A426" s="113"/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  <c r="AC426" s="113"/>
      <c r="AD426" s="113"/>
      <c r="AE426" s="113"/>
    </row>
    <row r="427" ht="15.75" customHeight="1">
      <c r="A427" s="113"/>
      <c r="B427" s="113"/>
      <c r="C427" s="113"/>
      <c r="D427" s="113"/>
      <c r="E427" s="113"/>
      <c r="F427" s="113"/>
      <c r="G427" s="113"/>
      <c r="H427" s="113"/>
      <c r="I427" s="113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  <c r="AC427" s="113"/>
      <c r="AD427" s="113"/>
      <c r="AE427" s="113"/>
    </row>
    <row r="428" ht="15.75" customHeight="1">
      <c r="A428" s="113"/>
      <c r="B428" s="113"/>
      <c r="C428" s="113"/>
      <c r="D428" s="113"/>
      <c r="E428" s="113"/>
      <c r="F428" s="113"/>
      <c r="G428" s="113"/>
      <c r="H428" s="113"/>
      <c r="I428" s="113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  <c r="AC428" s="113"/>
      <c r="AD428" s="113"/>
      <c r="AE428" s="113"/>
    </row>
    <row r="429" ht="15.75" customHeight="1">
      <c r="A429" s="113"/>
      <c r="B429" s="113"/>
      <c r="C429" s="113"/>
      <c r="D429" s="113"/>
      <c r="E429" s="113"/>
      <c r="F429" s="113"/>
      <c r="G429" s="113"/>
      <c r="H429" s="113"/>
      <c r="I429" s="113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  <c r="AC429" s="113"/>
      <c r="AD429" s="113"/>
      <c r="AE429" s="113"/>
    </row>
    <row r="430" ht="15.75" customHeight="1">
      <c r="A430" s="113"/>
      <c r="B430" s="113"/>
      <c r="C430" s="113"/>
      <c r="D430" s="113"/>
      <c r="E430" s="113"/>
      <c r="F430" s="113"/>
      <c r="G430" s="113"/>
      <c r="H430" s="113"/>
      <c r="I430" s="113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  <c r="AC430" s="113"/>
      <c r="AD430" s="113"/>
      <c r="AE430" s="113"/>
    </row>
    <row r="431" ht="15.75" customHeight="1">
      <c r="A431" s="113"/>
      <c r="B431" s="113"/>
      <c r="C431" s="113"/>
      <c r="D431" s="113"/>
      <c r="E431" s="113"/>
      <c r="F431" s="113"/>
      <c r="G431" s="113"/>
      <c r="H431" s="113"/>
      <c r="I431" s="113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  <c r="AC431" s="113"/>
      <c r="AD431" s="113"/>
      <c r="AE431" s="113"/>
    </row>
    <row r="432" ht="15.75" customHeight="1">
      <c r="A432" s="113"/>
      <c r="B432" s="113"/>
      <c r="C432" s="113"/>
      <c r="D432" s="113"/>
      <c r="E432" s="113"/>
      <c r="F432" s="113"/>
      <c r="G432" s="113"/>
      <c r="H432" s="113"/>
      <c r="I432" s="113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  <c r="AC432" s="113"/>
      <c r="AD432" s="113"/>
      <c r="AE432" s="113"/>
    </row>
    <row r="433" ht="15.75" customHeight="1">
      <c r="A433" s="113"/>
      <c r="B433" s="113"/>
      <c r="C433" s="113"/>
      <c r="D433" s="113"/>
      <c r="E433" s="113"/>
      <c r="F433" s="113"/>
      <c r="G433" s="113"/>
      <c r="H433" s="113"/>
      <c r="I433" s="113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  <c r="AC433" s="113"/>
      <c r="AD433" s="113"/>
      <c r="AE433" s="113"/>
    </row>
    <row r="434" ht="15.75" customHeight="1">
      <c r="A434" s="113"/>
      <c r="B434" s="113"/>
      <c r="C434" s="113"/>
      <c r="D434" s="113"/>
      <c r="E434" s="113"/>
      <c r="F434" s="113"/>
      <c r="G434" s="113"/>
      <c r="H434" s="113"/>
      <c r="I434" s="113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  <c r="AC434" s="113"/>
      <c r="AD434" s="113"/>
      <c r="AE434" s="113"/>
    </row>
    <row r="435" ht="15.75" customHeight="1">
      <c r="A435" s="113"/>
      <c r="B435" s="113"/>
      <c r="C435" s="113"/>
      <c r="D435" s="113"/>
      <c r="E435" s="113"/>
      <c r="F435" s="113"/>
      <c r="G435" s="113"/>
      <c r="H435" s="113"/>
      <c r="I435" s="113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  <c r="AC435" s="113"/>
      <c r="AD435" s="113"/>
      <c r="AE435" s="113"/>
    </row>
    <row r="436" ht="15.75" customHeight="1">
      <c r="A436" s="113"/>
      <c r="B436" s="113"/>
      <c r="C436" s="113"/>
      <c r="D436" s="113"/>
      <c r="E436" s="113"/>
      <c r="F436" s="113"/>
      <c r="G436" s="113"/>
      <c r="H436" s="113"/>
      <c r="I436" s="113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  <c r="AC436" s="113"/>
      <c r="AD436" s="113"/>
      <c r="AE436" s="113"/>
    </row>
    <row r="437" ht="15.75" customHeight="1">
      <c r="A437" s="113"/>
      <c r="B437" s="113"/>
      <c r="C437" s="113"/>
      <c r="D437" s="113"/>
      <c r="E437" s="113"/>
      <c r="F437" s="113"/>
      <c r="G437" s="113"/>
      <c r="H437" s="113"/>
      <c r="I437" s="113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  <c r="AC437" s="113"/>
      <c r="AD437" s="113"/>
      <c r="AE437" s="113"/>
    </row>
    <row r="438" ht="15.75" customHeight="1">
      <c r="A438" s="113"/>
      <c r="B438" s="113"/>
      <c r="C438" s="113"/>
      <c r="D438" s="113"/>
      <c r="E438" s="113"/>
      <c r="F438" s="113"/>
      <c r="G438" s="113"/>
      <c r="H438" s="113"/>
      <c r="I438" s="113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  <c r="AC438" s="113"/>
      <c r="AD438" s="113"/>
      <c r="AE438" s="113"/>
    </row>
    <row r="439" ht="15.75" customHeight="1">
      <c r="A439" s="113"/>
      <c r="B439" s="113"/>
      <c r="C439" s="113"/>
      <c r="D439" s="113"/>
      <c r="E439" s="113"/>
      <c r="F439" s="113"/>
      <c r="G439" s="113"/>
      <c r="H439" s="113"/>
      <c r="I439" s="113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  <c r="AC439" s="113"/>
      <c r="AD439" s="113"/>
      <c r="AE439" s="113"/>
    </row>
    <row r="440" ht="15.75" customHeight="1">
      <c r="A440" s="113"/>
      <c r="B440" s="113"/>
      <c r="C440" s="113"/>
      <c r="D440" s="113"/>
      <c r="E440" s="113"/>
      <c r="F440" s="113"/>
      <c r="G440" s="113"/>
      <c r="H440" s="113"/>
      <c r="I440" s="113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  <c r="AC440" s="113"/>
      <c r="AD440" s="113"/>
      <c r="AE440" s="113"/>
    </row>
    <row r="441" ht="15.75" customHeight="1">
      <c r="A441" s="113"/>
      <c r="B441" s="113"/>
      <c r="C441" s="113"/>
      <c r="D441" s="113"/>
      <c r="E441" s="113"/>
      <c r="F441" s="113"/>
      <c r="G441" s="113"/>
      <c r="H441" s="113"/>
      <c r="I441" s="113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  <c r="AC441" s="113"/>
      <c r="AD441" s="113"/>
      <c r="AE441" s="113"/>
    </row>
    <row r="442" ht="15.75" customHeight="1">
      <c r="A442" s="113"/>
      <c r="B442" s="113"/>
      <c r="C442" s="113"/>
      <c r="D442" s="113"/>
      <c r="E442" s="113"/>
      <c r="F442" s="113"/>
      <c r="G442" s="113"/>
      <c r="H442" s="113"/>
      <c r="I442" s="113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  <c r="AC442" s="113"/>
      <c r="AD442" s="113"/>
      <c r="AE442" s="113"/>
    </row>
    <row r="443" ht="15.75" customHeight="1">
      <c r="A443" s="113"/>
      <c r="B443" s="113"/>
      <c r="C443" s="113"/>
      <c r="D443" s="113"/>
      <c r="E443" s="11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  <c r="AC443" s="113"/>
      <c r="AD443" s="113"/>
      <c r="AE443" s="113"/>
    </row>
    <row r="444" ht="15.75" customHeight="1">
      <c r="A444" s="113"/>
      <c r="B444" s="113"/>
      <c r="C444" s="113"/>
      <c r="D444" s="113"/>
      <c r="E444" s="113"/>
      <c r="F444" s="113"/>
      <c r="G444" s="113"/>
      <c r="H444" s="113"/>
      <c r="I444" s="113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  <c r="AC444" s="113"/>
      <c r="AD444" s="113"/>
      <c r="AE444" s="113"/>
    </row>
    <row r="445" ht="15.75" customHeight="1">
      <c r="A445" s="113"/>
      <c r="B445" s="113"/>
      <c r="C445" s="113"/>
      <c r="D445" s="113"/>
      <c r="E445" s="11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  <c r="AC445" s="113"/>
      <c r="AD445" s="113"/>
      <c r="AE445" s="113"/>
    </row>
    <row r="446" ht="15.75" customHeight="1">
      <c r="A446" s="113"/>
      <c r="B446" s="113"/>
      <c r="C446" s="113"/>
      <c r="D446" s="113"/>
      <c r="E446" s="113"/>
      <c r="F446" s="113"/>
      <c r="G446" s="11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  <c r="AC446" s="113"/>
      <c r="AD446" s="113"/>
      <c r="AE446" s="113"/>
    </row>
    <row r="447" ht="15.75" customHeight="1">
      <c r="A447" s="113"/>
      <c r="B447" s="113"/>
      <c r="C447" s="113"/>
      <c r="D447" s="113"/>
      <c r="E447" s="113"/>
      <c r="F447" s="113"/>
      <c r="G447" s="113"/>
      <c r="H447" s="113"/>
      <c r="I447" s="113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  <c r="AC447" s="113"/>
      <c r="AD447" s="113"/>
      <c r="AE447" s="113"/>
    </row>
    <row r="448" ht="15.75" customHeight="1">
      <c r="A448" s="113"/>
      <c r="B448" s="113"/>
      <c r="C448" s="113"/>
      <c r="D448" s="113"/>
      <c r="E448" s="113"/>
      <c r="F448" s="113"/>
      <c r="G448" s="113"/>
      <c r="H448" s="113"/>
      <c r="I448" s="113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  <c r="AC448" s="113"/>
      <c r="AD448" s="113"/>
      <c r="AE448" s="113"/>
    </row>
    <row r="449" ht="15.75" customHeight="1">
      <c r="A449" s="113"/>
      <c r="B449" s="113"/>
      <c r="C449" s="113"/>
      <c r="D449" s="113"/>
      <c r="E449" s="113"/>
      <c r="F449" s="113"/>
      <c r="G449" s="113"/>
      <c r="H449" s="113"/>
      <c r="I449" s="113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  <c r="AC449" s="113"/>
      <c r="AD449" s="113"/>
      <c r="AE449" s="113"/>
    </row>
    <row r="450" ht="15.75" customHeight="1">
      <c r="A450" s="113"/>
      <c r="B450" s="113"/>
      <c r="C450" s="113"/>
      <c r="D450" s="113"/>
      <c r="E450" s="113"/>
      <c r="F450" s="113"/>
      <c r="G450" s="113"/>
      <c r="H450" s="113"/>
      <c r="I450" s="113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  <c r="AC450" s="113"/>
      <c r="AD450" s="113"/>
      <c r="AE450" s="113"/>
    </row>
    <row r="451" ht="15.75" customHeight="1">
      <c r="A451" s="113"/>
      <c r="B451" s="113"/>
      <c r="C451" s="113"/>
      <c r="D451" s="113"/>
      <c r="E451" s="113"/>
      <c r="F451" s="113"/>
      <c r="G451" s="113"/>
      <c r="H451" s="113"/>
      <c r="I451" s="113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  <c r="AC451" s="113"/>
      <c r="AD451" s="113"/>
      <c r="AE451" s="113"/>
    </row>
    <row r="452" ht="15.75" customHeight="1">
      <c r="A452" s="113"/>
      <c r="B452" s="113"/>
      <c r="C452" s="113"/>
      <c r="D452" s="113"/>
      <c r="E452" s="113"/>
      <c r="F452" s="113"/>
      <c r="G452" s="113"/>
      <c r="H452" s="113"/>
      <c r="I452" s="113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  <c r="AC452" s="113"/>
      <c r="AD452" s="113"/>
      <c r="AE452" s="113"/>
    </row>
    <row r="453" ht="15.75" customHeight="1">
      <c r="A453" s="113"/>
      <c r="B453" s="113"/>
      <c r="C453" s="113"/>
      <c r="D453" s="113"/>
      <c r="E453" s="113"/>
      <c r="F453" s="113"/>
      <c r="G453" s="113"/>
      <c r="H453" s="113"/>
      <c r="I453" s="113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  <c r="AC453" s="113"/>
      <c r="AD453" s="113"/>
      <c r="AE453" s="113"/>
    </row>
    <row r="454" ht="15.75" customHeight="1">
      <c r="A454" s="113"/>
      <c r="B454" s="113"/>
      <c r="C454" s="113"/>
      <c r="D454" s="113"/>
      <c r="E454" s="113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  <c r="AC454" s="113"/>
      <c r="AD454" s="113"/>
      <c r="AE454" s="113"/>
    </row>
    <row r="455" ht="15.75" customHeight="1">
      <c r="A455" s="113"/>
      <c r="B455" s="113"/>
      <c r="C455" s="113"/>
      <c r="D455" s="113"/>
      <c r="E455" s="113"/>
      <c r="F455" s="113"/>
      <c r="G455" s="113"/>
      <c r="H455" s="113"/>
      <c r="I455" s="113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  <c r="AC455" s="113"/>
      <c r="AD455" s="113"/>
      <c r="AE455" s="113"/>
    </row>
    <row r="456" ht="15.75" customHeight="1">
      <c r="A456" s="113"/>
      <c r="B456" s="113"/>
      <c r="C456" s="113"/>
      <c r="D456" s="113"/>
      <c r="E456" s="113"/>
      <c r="F456" s="113"/>
      <c r="G456" s="113"/>
      <c r="H456" s="113"/>
      <c r="I456" s="113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  <c r="AC456" s="113"/>
      <c r="AD456" s="113"/>
      <c r="AE456" s="113"/>
    </row>
    <row r="457" ht="15.75" customHeight="1">
      <c r="A457" s="113"/>
      <c r="B457" s="113"/>
      <c r="C457" s="113"/>
      <c r="D457" s="113"/>
      <c r="E457" s="113"/>
      <c r="F457" s="113"/>
      <c r="G457" s="113"/>
      <c r="H457" s="113"/>
      <c r="I457" s="113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  <c r="AC457" s="113"/>
      <c r="AD457" s="113"/>
      <c r="AE457" s="113"/>
    </row>
    <row r="458" ht="15.75" customHeight="1">
      <c r="A458" s="113"/>
      <c r="B458" s="113"/>
      <c r="C458" s="113"/>
      <c r="D458" s="113"/>
      <c r="E458" s="113"/>
      <c r="F458" s="113"/>
      <c r="G458" s="113"/>
      <c r="H458" s="113"/>
      <c r="I458" s="113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  <c r="AC458" s="113"/>
      <c r="AD458" s="113"/>
      <c r="AE458" s="113"/>
    </row>
    <row r="459" ht="15.75" customHeight="1">
      <c r="A459" s="113"/>
      <c r="B459" s="113"/>
      <c r="C459" s="113"/>
      <c r="D459" s="113"/>
      <c r="E459" s="113"/>
      <c r="F459" s="113"/>
      <c r="G459" s="113"/>
      <c r="H459" s="113"/>
      <c r="I459" s="113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  <c r="AC459" s="113"/>
      <c r="AD459" s="113"/>
      <c r="AE459" s="113"/>
    </row>
    <row r="460" ht="15.75" customHeight="1">
      <c r="A460" s="113"/>
      <c r="B460" s="113"/>
      <c r="C460" s="113"/>
      <c r="D460" s="113"/>
      <c r="E460" s="113"/>
      <c r="F460" s="113"/>
      <c r="G460" s="113"/>
      <c r="H460" s="113"/>
      <c r="I460" s="113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  <c r="AC460" s="113"/>
      <c r="AD460" s="113"/>
      <c r="AE460" s="113"/>
    </row>
    <row r="461" ht="15.75" customHeight="1">
      <c r="A461" s="113"/>
      <c r="B461" s="113"/>
      <c r="C461" s="113"/>
      <c r="D461" s="113"/>
      <c r="E461" s="113"/>
      <c r="F461" s="113"/>
      <c r="G461" s="113"/>
      <c r="H461" s="113"/>
      <c r="I461" s="113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  <c r="AC461" s="113"/>
      <c r="AD461" s="113"/>
      <c r="AE461" s="113"/>
    </row>
    <row r="462" ht="15.75" customHeight="1">
      <c r="A462" s="113"/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  <c r="AC462" s="113"/>
      <c r="AD462" s="113"/>
      <c r="AE462" s="113"/>
    </row>
    <row r="463" ht="15.75" customHeight="1">
      <c r="A463" s="113"/>
      <c r="B463" s="113"/>
      <c r="C463" s="113"/>
      <c r="D463" s="113"/>
      <c r="E463" s="113"/>
      <c r="F463" s="113"/>
      <c r="G463" s="113"/>
      <c r="H463" s="113"/>
      <c r="I463" s="113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  <c r="AC463" s="113"/>
      <c r="AD463" s="113"/>
      <c r="AE463" s="113"/>
    </row>
    <row r="464" ht="15.75" customHeight="1">
      <c r="A464" s="113"/>
      <c r="B464" s="113"/>
      <c r="C464" s="113"/>
      <c r="D464" s="113"/>
      <c r="E464" s="113"/>
      <c r="F464" s="113"/>
      <c r="G464" s="113"/>
      <c r="H464" s="113"/>
      <c r="I464" s="113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  <c r="AC464" s="113"/>
      <c r="AD464" s="113"/>
      <c r="AE464" s="113"/>
    </row>
    <row r="465" ht="15.75" customHeight="1">
      <c r="A465" s="113"/>
      <c r="B465" s="113"/>
      <c r="C465" s="113"/>
      <c r="D465" s="113"/>
      <c r="E465" s="11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  <c r="AC465" s="113"/>
      <c r="AD465" s="113"/>
      <c r="AE465" s="113"/>
    </row>
    <row r="466" ht="15.75" customHeight="1">
      <c r="A466" s="113"/>
      <c r="B466" s="113"/>
      <c r="C466" s="113"/>
      <c r="D466" s="113"/>
      <c r="E466" s="11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  <c r="AC466" s="113"/>
      <c r="AD466" s="113"/>
      <c r="AE466" s="113"/>
    </row>
    <row r="467" ht="15.75" customHeight="1">
      <c r="A467" s="113"/>
      <c r="B467" s="113"/>
      <c r="C467" s="113"/>
      <c r="D467" s="113"/>
      <c r="E467" s="113"/>
      <c r="F467" s="113"/>
      <c r="G467" s="113"/>
      <c r="H467" s="113"/>
      <c r="I467" s="113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  <c r="AC467" s="113"/>
      <c r="AD467" s="113"/>
      <c r="AE467" s="113"/>
    </row>
    <row r="468" ht="15.75" customHeight="1">
      <c r="A468" s="113"/>
      <c r="B468" s="113"/>
      <c r="C468" s="113"/>
      <c r="D468" s="113"/>
      <c r="E468" s="113"/>
      <c r="F468" s="113"/>
      <c r="G468" s="113"/>
      <c r="H468" s="113"/>
      <c r="I468" s="113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  <c r="AC468" s="113"/>
      <c r="AD468" s="113"/>
      <c r="AE468" s="113"/>
    </row>
    <row r="469" ht="15.75" customHeight="1">
      <c r="A469" s="113"/>
      <c r="B469" s="113"/>
      <c r="C469" s="113"/>
      <c r="D469" s="113"/>
      <c r="E469" s="113"/>
      <c r="F469" s="113"/>
      <c r="G469" s="113"/>
      <c r="H469" s="113"/>
      <c r="I469" s="113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  <c r="AC469" s="113"/>
      <c r="AD469" s="113"/>
      <c r="AE469" s="113"/>
    </row>
    <row r="470" ht="15.75" customHeight="1">
      <c r="A470" s="113"/>
      <c r="B470" s="113"/>
      <c r="C470" s="113"/>
      <c r="D470" s="113"/>
      <c r="E470" s="113"/>
      <c r="F470" s="113"/>
      <c r="G470" s="113"/>
      <c r="H470" s="113"/>
      <c r="I470" s="113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  <c r="AC470" s="113"/>
      <c r="AD470" s="113"/>
      <c r="AE470" s="113"/>
    </row>
    <row r="471" ht="15.75" customHeight="1">
      <c r="A471" s="113"/>
      <c r="B471" s="113"/>
      <c r="C471" s="113"/>
      <c r="D471" s="113"/>
      <c r="E471" s="113"/>
      <c r="F471" s="113"/>
      <c r="G471" s="113"/>
      <c r="H471" s="113"/>
      <c r="I471" s="113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  <c r="AC471" s="113"/>
      <c r="AD471" s="113"/>
      <c r="AE471" s="113"/>
    </row>
    <row r="472" ht="15.75" customHeight="1">
      <c r="A472" s="113"/>
      <c r="B472" s="113"/>
      <c r="C472" s="113"/>
      <c r="D472" s="113"/>
      <c r="E472" s="113"/>
      <c r="F472" s="113"/>
      <c r="G472" s="113"/>
      <c r="H472" s="113"/>
      <c r="I472" s="113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  <c r="AC472" s="113"/>
      <c r="AD472" s="113"/>
      <c r="AE472" s="113"/>
    </row>
    <row r="473" ht="15.75" customHeight="1">
      <c r="A473" s="113"/>
      <c r="B473" s="113"/>
      <c r="C473" s="113"/>
      <c r="D473" s="113"/>
      <c r="E473" s="113"/>
      <c r="F473" s="113"/>
      <c r="G473" s="113"/>
      <c r="H473" s="113"/>
      <c r="I473" s="113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  <c r="AC473" s="113"/>
      <c r="AD473" s="113"/>
      <c r="AE473" s="113"/>
    </row>
    <row r="474" ht="15.75" customHeight="1">
      <c r="A474" s="113"/>
      <c r="B474" s="113"/>
      <c r="C474" s="113"/>
      <c r="D474" s="113"/>
      <c r="E474" s="113"/>
      <c r="F474" s="113"/>
      <c r="G474" s="113"/>
      <c r="H474" s="113"/>
      <c r="I474" s="113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  <c r="AC474" s="113"/>
      <c r="AD474" s="113"/>
      <c r="AE474" s="113"/>
    </row>
    <row r="475" ht="15.75" customHeight="1">
      <c r="A475" s="113"/>
      <c r="B475" s="113"/>
      <c r="C475" s="113"/>
      <c r="D475" s="113"/>
      <c r="E475" s="113"/>
      <c r="F475" s="113"/>
      <c r="G475" s="113"/>
      <c r="H475" s="113"/>
      <c r="I475" s="113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  <c r="AC475" s="113"/>
      <c r="AD475" s="113"/>
      <c r="AE475" s="113"/>
    </row>
    <row r="476" ht="15.75" customHeight="1">
      <c r="A476" s="113"/>
      <c r="B476" s="113"/>
      <c r="C476" s="113"/>
      <c r="D476" s="113"/>
      <c r="E476" s="113"/>
      <c r="F476" s="113"/>
      <c r="G476" s="113"/>
      <c r="H476" s="113"/>
      <c r="I476" s="113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  <c r="AC476" s="113"/>
      <c r="AD476" s="113"/>
      <c r="AE476" s="113"/>
    </row>
    <row r="477" ht="15.75" customHeight="1">
      <c r="A477" s="113"/>
      <c r="B477" s="113"/>
      <c r="C477" s="113"/>
      <c r="D477" s="113"/>
      <c r="E477" s="11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  <c r="AC477" s="113"/>
      <c r="AD477" s="113"/>
      <c r="AE477" s="113"/>
    </row>
    <row r="478" ht="15.75" customHeight="1">
      <c r="A478" s="113"/>
      <c r="B478" s="113"/>
      <c r="C478" s="113"/>
      <c r="D478" s="113"/>
      <c r="E478" s="113"/>
      <c r="F478" s="113"/>
      <c r="G478" s="113"/>
      <c r="H478" s="113"/>
      <c r="I478" s="113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  <c r="AC478" s="113"/>
      <c r="AD478" s="113"/>
      <c r="AE478" s="113"/>
    </row>
    <row r="479" ht="15.75" customHeight="1">
      <c r="A479" s="113"/>
      <c r="B479" s="113"/>
      <c r="C479" s="113"/>
      <c r="D479" s="113"/>
      <c r="E479" s="113"/>
      <c r="F479" s="113"/>
      <c r="G479" s="113"/>
      <c r="H479" s="113"/>
      <c r="I479" s="113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  <c r="AC479" s="113"/>
      <c r="AD479" s="113"/>
      <c r="AE479" s="113"/>
    </row>
    <row r="480" ht="15.75" customHeight="1">
      <c r="A480" s="113"/>
      <c r="B480" s="113"/>
      <c r="C480" s="113"/>
      <c r="D480" s="113"/>
      <c r="E480" s="11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  <c r="AC480" s="113"/>
      <c r="AD480" s="113"/>
      <c r="AE480" s="113"/>
    </row>
    <row r="481" ht="15.75" customHeight="1">
      <c r="A481" s="113"/>
      <c r="B481" s="113"/>
      <c r="C481" s="113"/>
      <c r="D481" s="113"/>
      <c r="E481" s="113"/>
      <c r="F481" s="113"/>
      <c r="G481" s="113"/>
      <c r="H481" s="113"/>
      <c r="I481" s="113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  <c r="AC481" s="113"/>
      <c r="AD481" s="113"/>
      <c r="AE481" s="113"/>
    </row>
    <row r="482" ht="15.75" customHeight="1">
      <c r="A482" s="113"/>
      <c r="B482" s="113"/>
      <c r="C482" s="113"/>
      <c r="D482" s="113"/>
      <c r="E482" s="113"/>
      <c r="F482" s="113"/>
      <c r="G482" s="113"/>
      <c r="H482" s="113"/>
      <c r="I482" s="113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  <c r="AC482" s="113"/>
      <c r="AD482" s="113"/>
      <c r="AE482" s="113"/>
    </row>
    <row r="483" ht="15.75" customHeight="1">
      <c r="A483" s="113"/>
      <c r="B483" s="113"/>
      <c r="C483" s="113"/>
      <c r="D483" s="113"/>
      <c r="E483" s="11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  <c r="AC483" s="113"/>
      <c r="AD483" s="113"/>
      <c r="AE483" s="113"/>
    </row>
    <row r="484" ht="15.75" customHeight="1">
      <c r="A484" s="113"/>
      <c r="B484" s="113"/>
      <c r="C484" s="113"/>
      <c r="D484" s="113"/>
      <c r="E484" s="11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  <c r="AC484" s="113"/>
      <c r="AD484" s="113"/>
      <c r="AE484" s="113"/>
    </row>
    <row r="485" ht="15.75" customHeight="1">
      <c r="A485" s="113"/>
      <c r="B485" s="113"/>
      <c r="C485" s="113"/>
      <c r="D485" s="113"/>
      <c r="E485" s="11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  <c r="AC485" s="113"/>
      <c r="AD485" s="113"/>
      <c r="AE485" s="113"/>
    </row>
    <row r="486" ht="15.75" customHeight="1">
      <c r="A486" s="113"/>
      <c r="B486" s="113"/>
      <c r="C486" s="113"/>
      <c r="D486" s="113"/>
      <c r="E486" s="113"/>
      <c r="F486" s="113"/>
      <c r="G486" s="113"/>
      <c r="H486" s="113"/>
      <c r="I486" s="113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  <c r="AC486" s="113"/>
      <c r="AD486" s="113"/>
      <c r="AE486" s="113"/>
    </row>
    <row r="487" ht="15.75" customHeight="1">
      <c r="A487" s="113"/>
      <c r="B487" s="113"/>
      <c r="C487" s="113"/>
      <c r="D487" s="113"/>
      <c r="E487" s="113"/>
      <c r="F487" s="113"/>
      <c r="G487" s="113"/>
      <c r="H487" s="113"/>
      <c r="I487" s="113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  <c r="AC487" s="113"/>
      <c r="AD487" s="113"/>
      <c r="AE487" s="113"/>
    </row>
    <row r="488" ht="15.75" customHeight="1">
      <c r="A488" s="113"/>
      <c r="B488" s="113"/>
      <c r="C488" s="113"/>
      <c r="D488" s="113"/>
      <c r="E488" s="113"/>
      <c r="F488" s="113"/>
      <c r="G488" s="113"/>
      <c r="H488" s="113"/>
      <c r="I488" s="113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  <c r="AC488" s="113"/>
      <c r="AD488" s="113"/>
      <c r="AE488" s="113"/>
    </row>
    <row r="489" ht="15.75" customHeight="1">
      <c r="A489" s="113"/>
      <c r="B489" s="113"/>
      <c r="C489" s="113"/>
      <c r="D489" s="113"/>
      <c r="E489" s="113"/>
      <c r="F489" s="113"/>
      <c r="G489" s="113"/>
      <c r="H489" s="113"/>
      <c r="I489" s="113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  <c r="AC489" s="113"/>
      <c r="AD489" s="113"/>
      <c r="AE489" s="113"/>
    </row>
    <row r="490" ht="15.75" customHeight="1">
      <c r="A490" s="113"/>
      <c r="B490" s="113"/>
      <c r="C490" s="113"/>
      <c r="D490" s="113"/>
      <c r="E490" s="113"/>
      <c r="F490" s="113"/>
      <c r="G490" s="113"/>
      <c r="H490" s="113"/>
      <c r="I490" s="113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  <c r="AC490" s="113"/>
      <c r="AD490" s="113"/>
      <c r="AE490" s="113"/>
    </row>
    <row r="491" ht="15.75" customHeight="1">
      <c r="A491" s="113"/>
      <c r="B491" s="113"/>
      <c r="C491" s="113"/>
      <c r="D491" s="113"/>
      <c r="E491" s="113"/>
      <c r="F491" s="113"/>
      <c r="G491" s="113"/>
      <c r="H491" s="113"/>
      <c r="I491" s="113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  <c r="AC491" s="113"/>
      <c r="AD491" s="113"/>
      <c r="AE491" s="113"/>
    </row>
    <row r="492" ht="15.75" customHeight="1">
      <c r="A492" s="113"/>
      <c r="B492" s="113"/>
      <c r="C492" s="113"/>
      <c r="D492" s="113"/>
      <c r="E492" s="113"/>
      <c r="F492" s="113"/>
      <c r="G492" s="113"/>
      <c r="H492" s="113"/>
      <c r="I492" s="113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  <c r="AC492" s="113"/>
      <c r="AD492" s="113"/>
      <c r="AE492" s="113"/>
    </row>
    <row r="493" ht="15.75" customHeight="1">
      <c r="A493" s="113"/>
      <c r="B493" s="113"/>
      <c r="C493" s="113"/>
      <c r="D493" s="113"/>
      <c r="E493" s="113"/>
      <c r="F493" s="113"/>
      <c r="G493" s="113"/>
      <c r="H493" s="113"/>
      <c r="I493" s="113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  <c r="AC493" s="113"/>
      <c r="AD493" s="113"/>
      <c r="AE493" s="113"/>
    </row>
    <row r="494" ht="15.75" customHeight="1">
      <c r="A494" s="113"/>
      <c r="B494" s="113"/>
      <c r="C494" s="113"/>
      <c r="D494" s="113"/>
      <c r="E494" s="113"/>
      <c r="F494" s="113"/>
      <c r="G494" s="113"/>
      <c r="H494" s="113"/>
      <c r="I494" s="113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  <c r="AC494" s="113"/>
      <c r="AD494" s="113"/>
      <c r="AE494" s="113"/>
    </row>
    <row r="495" ht="15.75" customHeight="1">
      <c r="A495" s="113"/>
      <c r="B495" s="113"/>
      <c r="C495" s="113"/>
      <c r="D495" s="113"/>
      <c r="E495" s="113"/>
      <c r="F495" s="113"/>
      <c r="G495" s="113"/>
      <c r="H495" s="113"/>
      <c r="I495" s="113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  <c r="AC495" s="113"/>
      <c r="AD495" s="113"/>
      <c r="AE495" s="113"/>
    </row>
    <row r="496" ht="15.75" customHeight="1">
      <c r="A496" s="113"/>
      <c r="B496" s="113"/>
      <c r="C496" s="113"/>
      <c r="D496" s="113"/>
      <c r="E496" s="113"/>
      <c r="F496" s="113"/>
      <c r="G496" s="113"/>
      <c r="H496" s="113"/>
      <c r="I496" s="113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  <c r="AC496" s="113"/>
      <c r="AD496" s="113"/>
      <c r="AE496" s="113"/>
    </row>
    <row r="497" ht="15.75" customHeight="1">
      <c r="A497" s="113"/>
      <c r="B497" s="113"/>
      <c r="C497" s="113"/>
      <c r="D497" s="113"/>
      <c r="E497" s="113"/>
      <c r="F497" s="113"/>
      <c r="G497" s="113"/>
      <c r="H497" s="113"/>
      <c r="I497" s="113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  <c r="AC497" s="113"/>
      <c r="AD497" s="113"/>
      <c r="AE497" s="113"/>
    </row>
    <row r="498" ht="15.75" customHeight="1">
      <c r="A498" s="113"/>
      <c r="B498" s="113"/>
      <c r="C498" s="113"/>
      <c r="D498" s="113"/>
      <c r="E498" s="113"/>
      <c r="F498" s="113"/>
      <c r="G498" s="113"/>
      <c r="H498" s="113"/>
      <c r="I498" s="113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  <c r="AC498" s="113"/>
      <c r="AD498" s="113"/>
      <c r="AE498" s="113"/>
    </row>
    <row r="499" ht="15.75" customHeight="1">
      <c r="A499" s="113"/>
      <c r="B499" s="113"/>
      <c r="C499" s="113"/>
      <c r="D499" s="113"/>
      <c r="E499" s="11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  <c r="AC499" s="113"/>
      <c r="AD499" s="113"/>
      <c r="AE499" s="113"/>
    </row>
    <row r="500" ht="15.75" customHeight="1">
      <c r="A500" s="113"/>
      <c r="B500" s="113"/>
      <c r="C500" s="113"/>
      <c r="D500" s="113"/>
      <c r="E500" s="113"/>
      <c r="F500" s="113"/>
      <c r="G500" s="113"/>
      <c r="H500" s="113"/>
      <c r="I500" s="113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  <c r="AC500" s="113"/>
      <c r="AD500" s="113"/>
      <c r="AE500" s="113"/>
    </row>
    <row r="501" ht="15.75" customHeight="1">
      <c r="A501" s="113"/>
      <c r="B501" s="113"/>
      <c r="C501" s="113"/>
      <c r="D501" s="113"/>
      <c r="E501" s="11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  <c r="AC501" s="113"/>
      <c r="AD501" s="113"/>
      <c r="AE501" s="113"/>
    </row>
    <row r="502" ht="15.75" customHeight="1">
      <c r="A502" s="113"/>
      <c r="B502" s="113"/>
      <c r="C502" s="113"/>
      <c r="D502" s="113"/>
      <c r="E502" s="11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  <c r="AC502" s="113"/>
      <c r="AD502" s="113"/>
      <c r="AE502" s="113"/>
    </row>
    <row r="503" ht="15.75" customHeight="1">
      <c r="A503" s="113"/>
      <c r="B503" s="113"/>
      <c r="C503" s="113"/>
      <c r="D503" s="113"/>
      <c r="E503" s="113"/>
      <c r="F503" s="113"/>
      <c r="G503" s="113"/>
      <c r="H503" s="113"/>
      <c r="I503" s="113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  <c r="AC503" s="113"/>
      <c r="AD503" s="113"/>
      <c r="AE503" s="113"/>
    </row>
    <row r="504" ht="15.75" customHeight="1">
      <c r="A504" s="113"/>
      <c r="B504" s="113"/>
      <c r="C504" s="113"/>
      <c r="D504" s="113"/>
      <c r="E504" s="113"/>
      <c r="F504" s="113"/>
      <c r="G504" s="113"/>
      <c r="H504" s="113"/>
      <c r="I504" s="113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  <c r="AC504" s="113"/>
      <c r="AD504" s="113"/>
      <c r="AE504" s="113"/>
    </row>
    <row r="505" ht="15.75" customHeight="1">
      <c r="A505" s="113"/>
      <c r="B505" s="113"/>
      <c r="C505" s="113"/>
      <c r="D505" s="113"/>
      <c r="E505" s="113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  <c r="AC505" s="113"/>
      <c r="AD505" s="113"/>
      <c r="AE505" s="113"/>
    </row>
    <row r="506" ht="15.75" customHeight="1">
      <c r="A506" s="113"/>
      <c r="B506" s="113"/>
      <c r="C506" s="113"/>
      <c r="D506" s="113"/>
      <c r="E506" s="113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  <c r="AC506" s="113"/>
      <c r="AD506" s="113"/>
      <c r="AE506" s="113"/>
    </row>
    <row r="507" ht="15.75" customHeight="1">
      <c r="A507" s="113"/>
      <c r="B507" s="113"/>
      <c r="C507" s="113"/>
      <c r="D507" s="113"/>
      <c r="E507" s="113"/>
      <c r="F507" s="113"/>
      <c r="G507" s="113"/>
      <c r="H507" s="113"/>
      <c r="I507" s="113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  <c r="AC507" s="113"/>
      <c r="AD507" s="113"/>
      <c r="AE507" s="113"/>
    </row>
    <row r="508" ht="15.75" customHeight="1">
      <c r="A508" s="113"/>
      <c r="B508" s="113"/>
      <c r="C508" s="113"/>
      <c r="D508" s="113"/>
      <c r="E508" s="113"/>
      <c r="F508" s="113"/>
      <c r="G508" s="113"/>
      <c r="H508" s="113"/>
      <c r="I508" s="113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  <c r="AC508" s="113"/>
      <c r="AD508" s="113"/>
      <c r="AE508" s="113"/>
    </row>
    <row r="509" ht="15.75" customHeight="1">
      <c r="A509" s="113"/>
      <c r="B509" s="113"/>
      <c r="C509" s="113"/>
      <c r="D509" s="113"/>
      <c r="E509" s="113"/>
      <c r="F509" s="113"/>
      <c r="G509" s="113"/>
      <c r="H509" s="113"/>
      <c r="I509" s="113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  <c r="AC509" s="113"/>
      <c r="AD509" s="113"/>
      <c r="AE509" s="113"/>
    </row>
    <row r="510" ht="15.75" customHeight="1">
      <c r="A510" s="113"/>
      <c r="B510" s="113"/>
      <c r="C510" s="113"/>
      <c r="D510" s="113"/>
      <c r="E510" s="113"/>
      <c r="F510" s="113"/>
      <c r="G510" s="113"/>
      <c r="H510" s="113"/>
      <c r="I510" s="113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  <c r="AC510" s="113"/>
      <c r="AD510" s="113"/>
      <c r="AE510" s="113"/>
    </row>
    <row r="511" ht="15.75" customHeight="1">
      <c r="A511" s="113"/>
      <c r="B511" s="113"/>
      <c r="C511" s="113"/>
      <c r="D511" s="113"/>
      <c r="E511" s="113"/>
      <c r="F511" s="113"/>
      <c r="G511" s="113"/>
      <c r="H511" s="113"/>
      <c r="I511" s="113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  <c r="AC511" s="113"/>
      <c r="AD511" s="113"/>
      <c r="AE511" s="113"/>
    </row>
    <row r="512" ht="15.75" customHeight="1">
      <c r="A512" s="113"/>
      <c r="B512" s="113"/>
      <c r="C512" s="113"/>
      <c r="D512" s="113"/>
      <c r="E512" s="113"/>
      <c r="F512" s="113"/>
      <c r="G512" s="113"/>
      <c r="H512" s="113"/>
      <c r="I512" s="113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  <c r="AC512" s="113"/>
      <c r="AD512" s="113"/>
      <c r="AE512" s="113"/>
    </row>
    <row r="513" ht="15.75" customHeight="1">
      <c r="A513" s="113"/>
      <c r="B513" s="113"/>
      <c r="C513" s="113"/>
      <c r="D513" s="113"/>
      <c r="E513" s="113"/>
      <c r="F513" s="113"/>
      <c r="G513" s="113"/>
      <c r="H513" s="113"/>
      <c r="I513" s="113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  <c r="AC513" s="113"/>
      <c r="AD513" s="113"/>
      <c r="AE513" s="113"/>
    </row>
    <row r="514" ht="15.75" customHeight="1">
      <c r="A514" s="113"/>
      <c r="B514" s="113"/>
      <c r="C514" s="113"/>
      <c r="D514" s="113"/>
      <c r="E514" s="113"/>
      <c r="F514" s="113"/>
      <c r="G514" s="113"/>
      <c r="H514" s="113"/>
      <c r="I514" s="113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  <c r="AC514" s="113"/>
      <c r="AD514" s="113"/>
      <c r="AE514" s="113"/>
    </row>
    <row r="515" ht="15.75" customHeight="1">
      <c r="A515" s="113"/>
      <c r="B515" s="113"/>
      <c r="C515" s="113"/>
      <c r="D515" s="113"/>
      <c r="E515" s="113"/>
      <c r="F515" s="113"/>
      <c r="G515" s="113"/>
      <c r="H515" s="113"/>
      <c r="I515" s="113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  <c r="AC515" s="113"/>
      <c r="AD515" s="113"/>
      <c r="AE515" s="113"/>
    </row>
    <row r="516" ht="15.75" customHeight="1">
      <c r="A516" s="113"/>
      <c r="B516" s="113"/>
      <c r="C516" s="113"/>
      <c r="D516" s="113"/>
      <c r="E516" s="113"/>
      <c r="F516" s="113"/>
      <c r="G516" s="113"/>
      <c r="H516" s="113"/>
      <c r="I516" s="113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  <c r="AC516" s="113"/>
      <c r="AD516" s="113"/>
      <c r="AE516" s="113"/>
    </row>
    <row r="517" ht="15.75" customHeight="1">
      <c r="A517" s="113"/>
      <c r="B517" s="113"/>
      <c r="C517" s="113"/>
      <c r="D517" s="113"/>
      <c r="E517" s="113"/>
      <c r="F517" s="113"/>
      <c r="G517" s="113"/>
      <c r="H517" s="113"/>
      <c r="I517" s="113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  <c r="AC517" s="113"/>
      <c r="AD517" s="113"/>
      <c r="AE517" s="113"/>
    </row>
    <row r="518" ht="15.75" customHeight="1">
      <c r="A518" s="113"/>
      <c r="B518" s="113"/>
      <c r="C518" s="113"/>
      <c r="D518" s="113"/>
      <c r="E518" s="113"/>
      <c r="F518" s="113"/>
      <c r="G518" s="113"/>
      <c r="H518" s="113"/>
      <c r="I518" s="113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  <c r="AC518" s="113"/>
      <c r="AD518" s="113"/>
      <c r="AE518" s="113"/>
    </row>
    <row r="519" ht="15.75" customHeight="1">
      <c r="A519" s="113"/>
      <c r="B519" s="113"/>
      <c r="C519" s="113"/>
      <c r="D519" s="113"/>
      <c r="E519" s="113"/>
      <c r="F519" s="113"/>
      <c r="G519" s="113"/>
      <c r="H519" s="113"/>
      <c r="I519" s="113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  <c r="AC519" s="113"/>
      <c r="AD519" s="113"/>
      <c r="AE519" s="113"/>
    </row>
    <row r="520" ht="15.75" customHeight="1">
      <c r="A520" s="113"/>
      <c r="B520" s="113"/>
      <c r="C520" s="113"/>
      <c r="D520" s="113"/>
      <c r="E520" s="113"/>
      <c r="F520" s="113"/>
      <c r="G520" s="113"/>
      <c r="H520" s="113"/>
      <c r="I520" s="113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  <c r="AC520" s="113"/>
      <c r="AD520" s="113"/>
      <c r="AE520" s="113"/>
    </row>
    <row r="521" ht="15.75" customHeight="1">
      <c r="A521" s="113"/>
      <c r="B521" s="113"/>
      <c r="C521" s="113"/>
      <c r="D521" s="113"/>
      <c r="E521" s="113"/>
      <c r="F521" s="113"/>
      <c r="G521" s="113"/>
      <c r="H521" s="113"/>
      <c r="I521" s="113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  <c r="AC521" s="113"/>
      <c r="AD521" s="113"/>
      <c r="AE521" s="113"/>
    </row>
    <row r="522" ht="15.75" customHeight="1">
      <c r="A522" s="113"/>
      <c r="B522" s="113"/>
      <c r="C522" s="113"/>
      <c r="D522" s="113"/>
      <c r="E522" s="113"/>
      <c r="F522" s="113"/>
      <c r="G522" s="113"/>
      <c r="H522" s="113"/>
      <c r="I522" s="113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  <c r="AC522" s="113"/>
      <c r="AD522" s="113"/>
      <c r="AE522" s="113"/>
    </row>
    <row r="523" ht="15.75" customHeight="1">
      <c r="A523" s="113"/>
      <c r="B523" s="113"/>
      <c r="C523" s="113"/>
      <c r="D523" s="113"/>
      <c r="E523" s="113"/>
      <c r="F523" s="113"/>
      <c r="G523" s="113"/>
      <c r="H523" s="113"/>
      <c r="I523" s="113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  <c r="AC523" s="113"/>
      <c r="AD523" s="113"/>
      <c r="AE523" s="113"/>
    </row>
    <row r="524" ht="15.75" customHeight="1">
      <c r="A524" s="113"/>
      <c r="B524" s="113"/>
      <c r="C524" s="113"/>
      <c r="D524" s="113"/>
      <c r="E524" s="113"/>
      <c r="F524" s="113"/>
      <c r="G524" s="113"/>
      <c r="H524" s="113"/>
      <c r="I524" s="113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  <c r="AC524" s="113"/>
      <c r="AD524" s="113"/>
      <c r="AE524" s="113"/>
    </row>
    <row r="525" ht="15.75" customHeight="1">
      <c r="A525" s="113"/>
      <c r="B525" s="113"/>
      <c r="C525" s="113"/>
      <c r="D525" s="113"/>
      <c r="E525" s="113"/>
      <c r="F525" s="113"/>
      <c r="G525" s="113"/>
      <c r="H525" s="113"/>
      <c r="I525" s="113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  <c r="AC525" s="113"/>
      <c r="AD525" s="113"/>
      <c r="AE525" s="113"/>
    </row>
    <row r="526" ht="15.75" customHeight="1">
      <c r="A526" s="113"/>
      <c r="B526" s="113"/>
      <c r="C526" s="113"/>
      <c r="D526" s="113"/>
      <c r="E526" s="113"/>
      <c r="F526" s="113"/>
      <c r="G526" s="113"/>
      <c r="H526" s="113"/>
      <c r="I526" s="113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  <c r="AC526" s="113"/>
      <c r="AD526" s="113"/>
      <c r="AE526" s="113"/>
    </row>
    <row r="527" ht="15.75" customHeight="1">
      <c r="A527" s="113"/>
      <c r="B527" s="113"/>
      <c r="C527" s="113"/>
      <c r="D527" s="113"/>
      <c r="E527" s="113"/>
      <c r="F527" s="113"/>
      <c r="G527" s="113"/>
      <c r="H527" s="113"/>
      <c r="I527" s="113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  <c r="AC527" s="113"/>
      <c r="AD527" s="113"/>
      <c r="AE527" s="113"/>
    </row>
    <row r="528" ht="15.75" customHeight="1">
      <c r="A528" s="113"/>
      <c r="B528" s="113"/>
      <c r="C528" s="113"/>
      <c r="D528" s="113"/>
      <c r="E528" s="113"/>
      <c r="F528" s="113"/>
      <c r="G528" s="113"/>
      <c r="H528" s="113"/>
      <c r="I528" s="113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  <c r="AC528" s="113"/>
      <c r="AD528" s="113"/>
      <c r="AE528" s="113"/>
    </row>
    <row r="529" ht="15.75" customHeight="1">
      <c r="A529" s="113"/>
      <c r="B529" s="113"/>
      <c r="C529" s="113"/>
      <c r="D529" s="113"/>
      <c r="E529" s="113"/>
      <c r="F529" s="113"/>
      <c r="G529" s="113"/>
      <c r="H529" s="113"/>
      <c r="I529" s="113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  <c r="AC529" s="113"/>
      <c r="AD529" s="113"/>
      <c r="AE529" s="113"/>
    </row>
    <row r="530" ht="15.75" customHeight="1">
      <c r="A530" s="113"/>
      <c r="B530" s="113"/>
      <c r="C530" s="113"/>
      <c r="D530" s="113"/>
      <c r="E530" s="113"/>
      <c r="F530" s="113"/>
      <c r="G530" s="113"/>
      <c r="H530" s="113"/>
      <c r="I530" s="113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  <c r="AC530" s="113"/>
      <c r="AD530" s="113"/>
      <c r="AE530" s="113"/>
    </row>
    <row r="531" ht="15.75" customHeight="1">
      <c r="A531" s="113"/>
      <c r="B531" s="113"/>
      <c r="C531" s="113"/>
      <c r="D531" s="113"/>
      <c r="E531" s="113"/>
      <c r="F531" s="113"/>
      <c r="G531" s="113"/>
      <c r="H531" s="113"/>
      <c r="I531" s="113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  <c r="AC531" s="113"/>
      <c r="AD531" s="113"/>
      <c r="AE531" s="113"/>
    </row>
    <row r="532" ht="15.75" customHeight="1">
      <c r="A532" s="113"/>
      <c r="B532" s="113"/>
      <c r="C532" s="113"/>
      <c r="D532" s="113"/>
      <c r="E532" s="113"/>
      <c r="F532" s="113"/>
      <c r="G532" s="113"/>
      <c r="H532" s="113"/>
      <c r="I532" s="113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  <c r="AC532" s="113"/>
      <c r="AD532" s="113"/>
      <c r="AE532" s="113"/>
    </row>
    <row r="533" ht="15.75" customHeight="1">
      <c r="A533" s="113"/>
      <c r="B533" s="113"/>
      <c r="C533" s="113"/>
      <c r="D533" s="113"/>
      <c r="E533" s="113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  <c r="AC533" s="113"/>
      <c r="AD533" s="113"/>
      <c r="AE533" s="113"/>
    </row>
    <row r="534" ht="15.75" customHeight="1">
      <c r="A534" s="113"/>
      <c r="B534" s="113"/>
      <c r="C534" s="113"/>
      <c r="D534" s="113"/>
      <c r="E534" s="113"/>
      <c r="F534" s="113"/>
      <c r="G534" s="113"/>
      <c r="H534" s="113"/>
      <c r="I534" s="113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  <c r="AC534" s="113"/>
      <c r="AD534" s="113"/>
      <c r="AE534" s="113"/>
    </row>
    <row r="535" ht="15.75" customHeight="1">
      <c r="A535" s="113"/>
      <c r="B535" s="113"/>
      <c r="C535" s="113"/>
      <c r="D535" s="113"/>
      <c r="E535" s="113"/>
      <c r="F535" s="113"/>
      <c r="G535" s="113"/>
      <c r="H535" s="113"/>
      <c r="I535" s="113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  <c r="AC535" s="113"/>
      <c r="AD535" s="113"/>
      <c r="AE535" s="113"/>
    </row>
    <row r="536" ht="15.75" customHeight="1">
      <c r="A536" s="113"/>
      <c r="B536" s="113"/>
      <c r="C536" s="113"/>
      <c r="D536" s="113"/>
      <c r="E536" s="11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  <c r="AC536" s="113"/>
      <c r="AD536" s="113"/>
      <c r="AE536" s="113"/>
    </row>
    <row r="537" ht="15.75" customHeight="1">
      <c r="A537" s="113"/>
      <c r="B537" s="113"/>
      <c r="C537" s="113"/>
      <c r="D537" s="113"/>
      <c r="E537" s="11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  <c r="AC537" s="113"/>
      <c r="AD537" s="113"/>
      <c r="AE537" s="113"/>
    </row>
    <row r="538" ht="15.75" customHeight="1">
      <c r="A538" s="113"/>
      <c r="B538" s="113"/>
      <c r="C538" s="113"/>
      <c r="D538" s="113"/>
      <c r="E538" s="11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  <c r="AC538" s="113"/>
      <c r="AD538" s="113"/>
      <c r="AE538" s="113"/>
    </row>
    <row r="539" ht="15.75" customHeight="1">
      <c r="A539" s="113"/>
      <c r="B539" s="113"/>
      <c r="C539" s="113"/>
      <c r="D539" s="113"/>
      <c r="E539" s="11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  <c r="AC539" s="113"/>
      <c r="AD539" s="113"/>
      <c r="AE539" s="113"/>
    </row>
    <row r="540" ht="15.75" customHeight="1">
      <c r="A540" s="113"/>
      <c r="B540" s="113"/>
      <c r="C540" s="113"/>
      <c r="D540" s="113"/>
      <c r="E540" s="11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  <c r="AC540" s="113"/>
      <c r="AD540" s="113"/>
      <c r="AE540" s="113"/>
    </row>
    <row r="541" ht="15.75" customHeight="1">
      <c r="A541" s="113"/>
      <c r="B541" s="113"/>
      <c r="C541" s="113"/>
      <c r="D541" s="113"/>
      <c r="E541" s="11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  <c r="AC541" s="113"/>
      <c r="AD541" s="113"/>
      <c r="AE541" s="113"/>
    </row>
    <row r="542" ht="15.75" customHeight="1">
      <c r="A542" s="113"/>
      <c r="B542" s="113"/>
      <c r="C542" s="113"/>
      <c r="D542" s="113"/>
      <c r="E542" s="11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  <c r="AC542" s="113"/>
      <c r="AD542" s="113"/>
      <c r="AE542" s="113"/>
    </row>
    <row r="543" ht="15.75" customHeight="1">
      <c r="A543" s="113"/>
      <c r="B543" s="113"/>
      <c r="C543" s="113"/>
      <c r="D543" s="113"/>
      <c r="E543" s="113"/>
      <c r="F543" s="113"/>
      <c r="G543" s="113"/>
      <c r="H543" s="113"/>
      <c r="I543" s="113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  <c r="AC543" s="113"/>
      <c r="AD543" s="113"/>
      <c r="AE543" s="113"/>
    </row>
    <row r="544" ht="15.75" customHeight="1">
      <c r="A544" s="113"/>
      <c r="B544" s="113"/>
      <c r="C544" s="113"/>
      <c r="D544" s="113"/>
      <c r="E544" s="113"/>
      <c r="F544" s="113"/>
      <c r="G544" s="113"/>
      <c r="H544" s="113"/>
      <c r="I544" s="113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  <c r="AC544" s="113"/>
      <c r="AD544" s="113"/>
      <c r="AE544" s="113"/>
    </row>
    <row r="545" ht="15.75" customHeight="1">
      <c r="A545" s="113"/>
      <c r="B545" s="113"/>
      <c r="C545" s="113"/>
      <c r="D545" s="113"/>
      <c r="E545" s="113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  <c r="AC545" s="113"/>
      <c r="AD545" s="113"/>
      <c r="AE545" s="113"/>
    </row>
    <row r="546" ht="15.75" customHeight="1">
      <c r="A546" s="113"/>
      <c r="B546" s="113"/>
      <c r="C546" s="113"/>
      <c r="D546" s="113"/>
      <c r="E546" s="113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  <c r="AC546" s="113"/>
      <c r="AD546" s="113"/>
      <c r="AE546" s="113"/>
    </row>
    <row r="547" ht="15.75" customHeight="1">
      <c r="A547" s="113"/>
      <c r="B547" s="113"/>
      <c r="C547" s="113"/>
      <c r="D547" s="113"/>
      <c r="E547" s="113"/>
      <c r="F547" s="113"/>
      <c r="G547" s="113"/>
      <c r="H547" s="113"/>
      <c r="I547" s="113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  <c r="AC547" s="113"/>
      <c r="AD547" s="113"/>
      <c r="AE547" s="113"/>
    </row>
    <row r="548" ht="15.75" customHeight="1">
      <c r="A548" s="113"/>
      <c r="B548" s="113"/>
      <c r="C548" s="113"/>
      <c r="D548" s="113"/>
      <c r="E548" s="113"/>
      <c r="F548" s="113"/>
      <c r="G548" s="113"/>
      <c r="H548" s="113"/>
      <c r="I548" s="113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  <c r="AC548" s="113"/>
      <c r="AD548" s="113"/>
      <c r="AE548" s="113"/>
    </row>
    <row r="549" ht="15.75" customHeight="1">
      <c r="A549" s="113"/>
      <c r="B549" s="113"/>
      <c r="C549" s="113"/>
      <c r="D549" s="113"/>
      <c r="E549" s="113"/>
      <c r="F549" s="113"/>
      <c r="G549" s="113"/>
      <c r="H549" s="113"/>
      <c r="I549" s="113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  <c r="AC549" s="113"/>
      <c r="AD549" s="113"/>
      <c r="AE549" s="113"/>
    </row>
    <row r="550" ht="15.75" customHeight="1">
      <c r="A550" s="113"/>
      <c r="B550" s="113"/>
      <c r="C550" s="113"/>
      <c r="D550" s="113"/>
      <c r="E550" s="113"/>
      <c r="F550" s="113"/>
      <c r="G550" s="113"/>
      <c r="H550" s="113"/>
      <c r="I550" s="113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  <c r="AC550" s="113"/>
      <c r="AD550" s="113"/>
      <c r="AE550" s="113"/>
    </row>
    <row r="551" ht="15.75" customHeight="1">
      <c r="A551" s="113"/>
      <c r="B551" s="113"/>
      <c r="C551" s="113"/>
      <c r="D551" s="113"/>
      <c r="E551" s="113"/>
      <c r="F551" s="113"/>
      <c r="G551" s="113"/>
      <c r="H551" s="113"/>
      <c r="I551" s="113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  <c r="AC551" s="113"/>
      <c r="AD551" s="113"/>
      <c r="AE551" s="113"/>
    </row>
    <row r="552" ht="15.75" customHeight="1">
      <c r="A552" s="113"/>
      <c r="B552" s="113"/>
      <c r="C552" s="113"/>
      <c r="D552" s="113"/>
      <c r="E552" s="113"/>
      <c r="F552" s="113"/>
      <c r="G552" s="113"/>
      <c r="H552" s="113"/>
      <c r="I552" s="113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  <c r="AC552" s="113"/>
      <c r="AD552" s="113"/>
      <c r="AE552" s="113"/>
    </row>
    <row r="553" ht="15.75" customHeight="1">
      <c r="A553" s="113"/>
      <c r="B553" s="113"/>
      <c r="C553" s="113"/>
      <c r="D553" s="113"/>
      <c r="E553" s="113"/>
      <c r="F553" s="113"/>
      <c r="G553" s="113"/>
      <c r="H553" s="113"/>
      <c r="I553" s="113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  <c r="AC553" s="113"/>
      <c r="AD553" s="113"/>
      <c r="AE553" s="113"/>
    </row>
    <row r="554" ht="15.75" customHeight="1">
      <c r="A554" s="113"/>
      <c r="B554" s="113"/>
      <c r="C554" s="113"/>
      <c r="D554" s="113"/>
      <c r="E554" s="113"/>
      <c r="F554" s="113"/>
      <c r="G554" s="113"/>
      <c r="H554" s="113"/>
      <c r="I554" s="113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  <c r="AC554" s="113"/>
      <c r="AD554" s="113"/>
      <c r="AE554" s="113"/>
    </row>
    <row r="555" ht="15.75" customHeight="1">
      <c r="A555" s="113"/>
      <c r="B555" s="113"/>
      <c r="C555" s="113"/>
      <c r="D555" s="113"/>
      <c r="E555" s="113"/>
      <c r="F555" s="113"/>
      <c r="G555" s="113"/>
      <c r="H555" s="113"/>
      <c r="I555" s="113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  <c r="AC555" s="113"/>
      <c r="AD555" s="113"/>
      <c r="AE555" s="113"/>
    </row>
    <row r="556" ht="15.75" customHeight="1">
      <c r="A556" s="113"/>
      <c r="B556" s="113"/>
      <c r="C556" s="113"/>
      <c r="D556" s="113"/>
      <c r="E556" s="113"/>
      <c r="F556" s="113"/>
      <c r="G556" s="113"/>
      <c r="H556" s="113"/>
      <c r="I556" s="113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  <c r="AC556" s="113"/>
      <c r="AD556" s="113"/>
      <c r="AE556" s="113"/>
    </row>
    <row r="557" ht="15.75" customHeight="1">
      <c r="A557" s="113"/>
      <c r="B557" s="113"/>
      <c r="C557" s="113"/>
      <c r="D557" s="113"/>
      <c r="E557" s="113"/>
      <c r="F557" s="113"/>
      <c r="G557" s="113"/>
      <c r="H557" s="113"/>
      <c r="I557" s="113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  <c r="AC557" s="113"/>
      <c r="AD557" s="113"/>
      <c r="AE557" s="113"/>
    </row>
    <row r="558" ht="15.75" customHeight="1">
      <c r="A558" s="113"/>
      <c r="B558" s="113"/>
      <c r="C558" s="113"/>
      <c r="D558" s="113"/>
      <c r="E558" s="113"/>
      <c r="F558" s="113"/>
      <c r="G558" s="113"/>
      <c r="H558" s="113"/>
      <c r="I558" s="113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  <c r="AC558" s="113"/>
      <c r="AD558" s="113"/>
      <c r="AE558" s="113"/>
    </row>
    <row r="559" ht="15.75" customHeight="1">
      <c r="A559" s="113"/>
      <c r="B559" s="113"/>
      <c r="C559" s="113"/>
      <c r="D559" s="113"/>
      <c r="E559" s="113"/>
      <c r="F559" s="113"/>
      <c r="G559" s="113"/>
      <c r="H559" s="113"/>
      <c r="I559" s="113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  <c r="AC559" s="113"/>
      <c r="AD559" s="113"/>
      <c r="AE559" s="113"/>
    </row>
    <row r="560" ht="15.75" customHeight="1">
      <c r="A560" s="113"/>
      <c r="B560" s="113"/>
      <c r="C560" s="113"/>
      <c r="D560" s="113"/>
      <c r="E560" s="113"/>
      <c r="F560" s="113"/>
      <c r="G560" s="113"/>
      <c r="H560" s="113"/>
      <c r="I560" s="113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  <c r="AC560" s="113"/>
      <c r="AD560" s="113"/>
      <c r="AE560" s="113"/>
    </row>
    <row r="561" ht="15.75" customHeight="1">
      <c r="A561" s="113"/>
      <c r="B561" s="113"/>
      <c r="C561" s="113"/>
      <c r="D561" s="113"/>
      <c r="E561" s="113"/>
      <c r="F561" s="113"/>
      <c r="G561" s="113"/>
      <c r="H561" s="113"/>
      <c r="I561" s="113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  <c r="AC561" s="113"/>
      <c r="AD561" s="113"/>
      <c r="AE561" s="113"/>
    </row>
    <row r="562" ht="15.75" customHeight="1">
      <c r="A562" s="113"/>
      <c r="B562" s="113"/>
      <c r="C562" s="113"/>
      <c r="D562" s="113"/>
      <c r="E562" s="113"/>
      <c r="F562" s="113"/>
      <c r="G562" s="113"/>
      <c r="H562" s="113"/>
      <c r="I562" s="113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  <c r="AC562" s="113"/>
      <c r="AD562" s="113"/>
      <c r="AE562" s="113"/>
    </row>
    <row r="563" ht="15.75" customHeight="1">
      <c r="A563" s="113"/>
      <c r="B563" s="113"/>
      <c r="C563" s="113"/>
      <c r="D563" s="113"/>
      <c r="E563" s="113"/>
      <c r="F563" s="113"/>
      <c r="G563" s="113"/>
      <c r="H563" s="113"/>
      <c r="I563" s="113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  <c r="AC563" s="113"/>
      <c r="AD563" s="113"/>
      <c r="AE563" s="113"/>
    </row>
    <row r="564" ht="15.75" customHeight="1">
      <c r="A564" s="113"/>
      <c r="B564" s="113"/>
      <c r="C564" s="113"/>
      <c r="D564" s="113"/>
      <c r="E564" s="113"/>
      <c r="F564" s="113"/>
      <c r="G564" s="113"/>
      <c r="H564" s="113"/>
      <c r="I564" s="113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  <c r="AC564" s="113"/>
      <c r="AD564" s="113"/>
      <c r="AE564" s="113"/>
    </row>
    <row r="565" ht="15.75" customHeight="1">
      <c r="A565" s="113"/>
      <c r="B565" s="113"/>
      <c r="C565" s="113"/>
      <c r="D565" s="113"/>
      <c r="E565" s="113"/>
      <c r="F565" s="113"/>
      <c r="G565" s="113"/>
      <c r="H565" s="113"/>
      <c r="I565" s="113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  <c r="AC565" s="113"/>
      <c r="AD565" s="113"/>
      <c r="AE565" s="113"/>
    </row>
    <row r="566" ht="15.75" customHeight="1">
      <c r="A566" s="113"/>
      <c r="B566" s="113"/>
      <c r="C566" s="113"/>
      <c r="D566" s="113"/>
      <c r="E566" s="113"/>
      <c r="F566" s="113"/>
      <c r="G566" s="113"/>
      <c r="H566" s="113"/>
      <c r="I566" s="113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  <c r="AC566" s="113"/>
      <c r="AD566" s="113"/>
      <c r="AE566" s="113"/>
    </row>
    <row r="567" ht="15.75" customHeight="1">
      <c r="A567" s="113"/>
      <c r="B567" s="113"/>
      <c r="C567" s="113"/>
      <c r="D567" s="113"/>
      <c r="E567" s="113"/>
      <c r="F567" s="113"/>
      <c r="G567" s="113"/>
      <c r="H567" s="113"/>
      <c r="I567" s="113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  <c r="AC567" s="113"/>
      <c r="AD567" s="113"/>
      <c r="AE567" s="113"/>
    </row>
    <row r="568" ht="15.75" customHeight="1">
      <c r="A568" s="113"/>
      <c r="B568" s="113"/>
      <c r="C568" s="113"/>
      <c r="D568" s="113"/>
      <c r="E568" s="113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  <c r="AC568" s="113"/>
      <c r="AD568" s="113"/>
      <c r="AE568" s="113"/>
    </row>
    <row r="569" ht="15.75" customHeight="1">
      <c r="A569" s="113"/>
      <c r="B569" s="113"/>
      <c r="C569" s="113"/>
      <c r="D569" s="113"/>
      <c r="E569" s="113"/>
      <c r="F569" s="113"/>
      <c r="G569" s="113"/>
      <c r="H569" s="113"/>
      <c r="I569" s="113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  <c r="AC569" s="113"/>
      <c r="AD569" s="113"/>
      <c r="AE569" s="113"/>
    </row>
    <row r="570" ht="15.75" customHeight="1">
      <c r="A570" s="113"/>
      <c r="B570" s="113"/>
      <c r="C570" s="113"/>
      <c r="D570" s="113"/>
      <c r="E570" s="113"/>
      <c r="F570" s="113"/>
      <c r="G570" s="113"/>
      <c r="H570" s="113"/>
      <c r="I570" s="113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  <c r="AC570" s="113"/>
      <c r="AD570" s="113"/>
      <c r="AE570" s="113"/>
    </row>
    <row r="571" ht="15.75" customHeight="1">
      <c r="A571" s="113"/>
      <c r="B571" s="113"/>
      <c r="C571" s="113"/>
      <c r="D571" s="113"/>
      <c r="E571" s="113"/>
      <c r="F571" s="113"/>
      <c r="G571" s="113"/>
      <c r="H571" s="113"/>
      <c r="I571" s="113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  <c r="AC571" s="113"/>
      <c r="AD571" s="113"/>
      <c r="AE571" s="113"/>
    </row>
    <row r="572" ht="15.75" customHeight="1">
      <c r="A572" s="113"/>
      <c r="B572" s="113"/>
      <c r="C572" s="113"/>
      <c r="D572" s="113"/>
      <c r="E572" s="113"/>
      <c r="F572" s="113"/>
      <c r="G572" s="113"/>
      <c r="H572" s="113"/>
      <c r="I572" s="113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  <c r="AC572" s="113"/>
      <c r="AD572" s="113"/>
      <c r="AE572" s="113"/>
    </row>
    <row r="573" ht="15.75" customHeight="1">
      <c r="A573" s="113"/>
      <c r="B573" s="113"/>
      <c r="C573" s="113"/>
      <c r="D573" s="113"/>
      <c r="E573" s="113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  <c r="AC573" s="113"/>
      <c r="AD573" s="113"/>
      <c r="AE573" s="113"/>
    </row>
    <row r="574" ht="15.75" customHeight="1">
      <c r="A574" s="113"/>
      <c r="B574" s="113"/>
      <c r="C574" s="113"/>
      <c r="D574" s="113"/>
      <c r="E574" s="113"/>
      <c r="F574" s="113"/>
      <c r="G574" s="113"/>
      <c r="H574" s="113"/>
      <c r="I574" s="113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  <c r="AC574" s="113"/>
      <c r="AD574" s="113"/>
      <c r="AE574" s="113"/>
    </row>
    <row r="575" ht="15.75" customHeight="1">
      <c r="A575" s="113"/>
      <c r="B575" s="113"/>
      <c r="C575" s="113"/>
      <c r="D575" s="113"/>
      <c r="E575" s="113"/>
      <c r="F575" s="113"/>
      <c r="G575" s="113"/>
      <c r="H575" s="113"/>
      <c r="I575" s="113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  <c r="AC575" s="113"/>
      <c r="AD575" s="113"/>
      <c r="AE575" s="113"/>
    </row>
    <row r="576" ht="15.75" customHeight="1">
      <c r="A576" s="113"/>
      <c r="B576" s="113"/>
      <c r="C576" s="113"/>
      <c r="D576" s="113"/>
      <c r="E576" s="113"/>
      <c r="F576" s="113"/>
      <c r="G576" s="113"/>
      <c r="H576" s="113"/>
      <c r="I576" s="113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  <c r="AC576" s="113"/>
      <c r="AD576" s="113"/>
      <c r="AE576" s="113"/>
    </row>
    <row r="577" ht="15.75" customHeight="1">
      <c r="A577" s="113"/>
      <c r="B577" s="113"/>
      <c r="C577" s="113"/>
      <c r="D577" s="113"/>
      <c r="E577" s="113"/>
      <c r="F577" s="113"/>
      <c r="G577" s="113"/>
      <c r="H577" s="113"/>
      <c r="I577" s="113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  <c r="AC577" s="113"/>
      <c r="AD577" s="113"/>
      <c r="AE577" s="113"/>
    </row>
    <row r="578" ht="15.75" customHeight="1">
      <c r="A578" s="113"/>
      <c r="B578" s="113"/>
      <c r="C578" s="113"/>
      <c r="D578" s="113"/>
      <c r="E578" s="113"/>
      <c r="F578" s="113"/>
      <c r="G578" s="113"/>
      <c r="H578" s="113"/>
      <c r="I578" s="113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  <c r="AC578" s="113"/>
      <c r="AD578" s="113"/>
      <c r="AE578" s="113"/>
    </row>
    <row r="579" ht="15.75" customHeight="1">
      <c r="A579" s="113"/>
      <c r="B579" s="113"/>
      <c r="C579" s="113"/>
      <c r="D579" s="113"/>
      <c r="E579" s="113"/>
      <c r="F579" s="113"/>
      <c r="G579" s="113"/>
      <c r="H579" s="113"/>
      <c r="I579" s="113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  <c r="AC579" s="113"/>
      <c r="AD579" s="113"/>
      <c r="AE579" s="113"/>
    </row>
    <row r="580" ht="15.75" customHeight="1">
      <c r="A580" s="113"/>
      <c r="B580" s="113"/>
      <c r="C580" s="113"/>
      <c r="D580" s="113"/>
      <c r="E580" s="113"/>
      <c r="F580" s="113"/>
      <c r="G580" s="113"/>
      <c r="H580" s="113"/>
      <c r="I580" s="113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  <c r="AC580" s="113"/>
      <c r="AD580" s="113"/>
      <c r="AE580" s="113"/>
    </row>
    <row r="581" ht="15.75" customHeight="1">
      <c r="A581" s="113"/>
      <c r="B581" s="113"/>
      <c r="C581" s="113"/>
      <c r="D581" s="113"/>
      <c r="E581" s="113"/>
      <c r="F581" s="113"/>
      <c r="G581" s="113"/>
      <c r="H581" s="113"/>
      <c r="I581" s="113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  <c r="AC581" s="113"/>
      <c r="AD581" s="113"/>
      <c r="AE581" s="113"/>
    </row>
    <row r="582" ht="15.75" customHeight="1">
      <c r="A582" s="113"/>
      <c r="B582" s="113"/>
      <c r="C582" s="113"/>
      <c r="D582" s="113"/>
      <c r="E582" s="113"/>
      <c r="F582" s="113"/>
      <c r="G582" s="113"/>
      <c r="H582" s="113"/>
      <c r="I582" s="113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  <c r="AC582" s="113"/>
      <c r="AD582" s="113"/>
      <c r="AE582" s="113"/>
    </row>
    <row r="583" ht="15.75" customHeight="1">
      <c r="A583" s="113"/>
      <c r="B583" s="113"/>
      <c r="C583" s="113"/>
      <c r="D583" s="113"/>
      <c r="E583" s="113"/>
      <c r="F583" s="113"/>
      <c r="G583" s="113"/>
      <c r="H583" s="113"/>
      <c r="I583" s="113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  <c r="AC583" s="113"/>
      <c r="AD583" s="113"/>
      <c r="AE583" s="113"/>
    </row>
    <row r="584" ht="15.75" customHeight="1">
      <c r="A584" s="113"/>
      <c r="B584" s="113"/>
      <c r="C584" s="113"/>
      <c r="D584" s="113"/>
      <c r="E584" s="113"/>
      <c r="F584" s="113"/>
      <c r="G584" s="113"/>
      <c r="H584" s="113"/>
      <c r="I584" s="113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  <c r="AC584" s="113"/>
      <c r="AD584" s="113"/>
      <c r="AE584" s="113"/>
    </row>
    <row r="585" ht="15.75" customHeight="1">
      <c r="A585" s="113"/>
      <c r="B585" s="113"/>
      <c r="C585" s="113"/>
      <c r="D585" s="113"/>
      <c r="E585" s="113"/>
      <c r="F585" s="113"/>
      <c r="G585" s="113"/>
      <c r="H585" s="113"/>
      <c r="I585" s="113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  <c r="AC585" s="113"/>
      <c r="AD585" s="113"/>
      <c r="AE585" s="113"/>
    </row>
    <row r="586" ht="15.75" customHeight="1">
      <c r="A586" s="113"/>
      <c r="B586" s="113"/>
      <c r="C586" s="113"/>
      <c r="D586" s="113"/>
      <c r="E586" s="113"/>
      <c r="F586" s="113"/>
      <c r="G586" s="113"/>
      <c r="H586" s="113"/>
      <c r="I586" s="113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  <c r="AC586" s="113"/>
      <c r="AD586" s="113"/>
      <c r="AE586" s="113"/>
    </row>
    <row r="587" ht="15.75" customHeight="1">
      <c r="A587" s="113"/>
      <c r="B587" s="113"/>
      <c r="C587" s="113"/>
      <c r="D587" s="113"/>
      <c r="E587" s="113"/>
      <c r="F587" s="113"/>
      <c r="G587" s="11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  <c r="AC587" s="113"/>
      <c r="AD587" s="113"/>
      <c r="AE587" s="113"/>
    </row>
    <row r="588" ht="15.75" customHeight="1">
      <c r="A588" s="113"/>
      <c r="B588" s="113"/>
      <c r="C588" s="113"/>
      <c r="D588" s="113"/>
      <c r="E588" s="11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  <c r="AC588" s="113"/>
      <c r="AD588" s="113"/>
      <c r="AE588" s="113"/>
    </row>
    <row r="589" ht="15.75" customHeight="1">
      <c r="A589" s="113"/>
      <c r="B589" s="113"/>
      <c r="C589" s="113"/>
      <c r="D589" s="113"/>
      <c r="E589" s="113"/>
      <c r="F589" s="113"/>
      <c r="G589" s="113"/>
      <c r="H589" s="113"/>
      <c r="I589" s="113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  <c r="AC589" s="113"/>
      <c r="AD589" s="113"/>
      <c r="AE589" s="113"/>
    </row>
    <row r="590" ht="15.75" customHeight="1">
      <c r="A590" s="113"/>
      <c r="B590" s="113"/>
      <c r="C590" s="113"/>
      <c r="D590" s="113"/>
      <c r="E590" s="113"/>
      <c r="F590" s="113"/>
      <c r="G590" s="113"/>
      <c r="H590" s="113"/>
      <c r="I590" s="113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  <c r="AC590" s="113"/>
      <c r="AD590" s="113"/>
      <c r="AE590" s="113"/>
    </row>
    <row r="591" ht="15.75" customHeight="1">
      <c r="A591" s="113"/>
      <c r="B591" s="113"/>
      <c r="C591" s="113"/>
      <c r="D591" s="113"/>
      <c r="E591" s="113"/>
      <c r="F591" s="113"/>
      <c r="G591" s="113"/>
      <c r="H591" s="113"/>
      <c r="I591" s="113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  <c r="AC591" s="113"/>
      <c r="AD591" s="113"/>
      <c r="AE591" s="113"/>
    </row>
    <row r="592" ht="15.75" customHeight="1">
      <c r="A592" s="113"/>
      <c r="B592" s="113"/>
      <c r="C592" s="113"/>
      <c r="D592" s="113"/>
      <c r="E592" s="113"/>
      <c r="F592" s="113"/>
      <c r="G592" s="113"/>
      <c r="H592" s="113"/>
      <c r="I592" s="113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  <c r="AC592" s="113"/>
      <c r="AD592" s="113"/>
      <c r="AE592" s="113"/>
    </row>
    <row r="593" ht="15.75" customHeight="1">
      <c r="A593" s="113"/>
      <c r="B593" s="113"/>
      <c r="C593" s="113"/>
      <c r="D593" s="113"/>
      <c r="E593" s="113"/>
      <c r="F593" s="113"/>
      <c r="G593" s="113"/>
      <c r="H593" s="113"/>
      <c r="I593" s="113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  <c r="AC593" s="113"/>
      <c r="AD593" s="113"/>
      <c r="AE593" s="113"/>
    </row>
    <row r="594" ht="15.75" customHeight="1">
      <c r="A594" s="113"/>
      <c r="B594" s="113"/>
      <c r="C594" s="113"/>
      <c r="D594" s="113"/>
      <c r="E594" s="113"/>
      <c r="F594" s="113"/>
      <c r="G594" s="113"/>
      <c r="H594" s="113"/>
      <c r="I594" s="113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  <c r="AC594" s="113"/>
      <c r="AD594" s="113"/>
      <c r="AE594" s="113"/>
    </row>
    <row r="595" ht="15.75" customHeight="1">
      <c r="A595" s="113"/>
      <c r="B595" s="113"/>
      <c r="C595" s="113"/>
      <c r="D595" s="113"/>
      <c r="E595" s="113"/>
      <c r="F595" s="113"/>
      <c r="G595" s="113"/>
      <c r="H595" s="113"/>
      <c r="I595" s="113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  <c r="AC595" s="113"/>
      <c r="AD595" s="113"/>
      <c r="AE595" s="113"/>
    </row>
    <row r="596" ht="15.75" customHeight="1">
      <c r="A596" s="113"/>
      <c r="B596" s="113"/>
      <c r="C596" s="113"/>
      <c r="D596" s="113"/>
      <c r="E596" s="113"/>
      <c r="F596" s="113"/>
      <c r="G596" s="113"/>
      <c r="H596" s="113"/>
      <c r="I596" s="113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  <c r="AC596" s="113"/>
      <c r="AD596" s="113"/>
      <c r="AE596" s="113"/>
    </row>
    <row r="597" ht="15.75" customHeight="1">
      <c r="A597" s="113"/>
      <c r="B597" s="113"/>
      <c r="C597" s="113"/>
      <c r="D597" s="113"/>
      <c r="E597" s="113"/>
      <c r="F597" s="113"/>
      <c r="G597" s="113"/>
      <c r="H597" s="113"/>
      <c r="I597" s="113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  <c r="AC597" s="113"/>
      <c r="AD597" s="113"/>
      <c r="AE597" s="113"/>
    </row>
    <row r="598" ht="15.75" customHeight="1">
      <c r="A598" s="113"/>
      <c r="B598" s="113"/>
      <c r="C598" s="113"/>
      <c r="D598" s="113"/>
      <c r="E598" s="113"/>
      <c r="F598" s="113"/>
      <c r="G598" s="113"/>
      <c r="H598" s="113"/>
      <c r="I598" s="113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  <c r="AC598" s="113"/>
      <c r="AD598" s="113"/>
      <c r="AE598" s="113"/>
    </row>
    <row r="599" ht="15.75" customHeight="1">
      <c r="A599" s="113"/>
      <c r="B599" s="113"/>
      <c r="C599" s="113"/>
      <c r="D599" s="113"/>
      <c r="E599" s="113"/>
      <c r="F599" s="113"/>
      <c r="G599" s="113"/>
      <c r="H599" s="113"/>
      <c r="I599" s="113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  <c r="AC599" s="113"/>
      <c r="AD599" s="113"/>
      <c r="AE599" s="113"/>
    </row>
    <row r="600" ht="15.75" customHeight="1">
      <c r="A600" s="113"/>
      <c r="B600" s="113"/>
      <c r="C600" s="113"/>
      <c r="D600" s="113"/>
      <c r="E600" s="113"/>
      <c r="F600" s="113"/>
      <c r="G600" s="113"/>
      <c r="H600" s="113"/>
      <c r="I600" s="113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  <c r="AC600" s="113"/>
      <c r="AD600" s="113"/>
      <c r="AE600" s="113"/>
    </row>
    <row r="601" ht="15.75" customHeight="1">
      <c r="A601" s="113"/>
      <c r="B601" s="113"/>
      <c r="C601" s="113"/>
      <c r="D601" s="113"/>
      <c r="E601" s="113"/>
      <c r="F601" s="113"/>
      <c r="G601" s="113"/>
      <c r="H601" s="113"/>
      <c r="I601" s="113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  <c r="AC601" s="113"/>
      <c r="AD601" s="113"/>
      <c r="AE601" s="113"/>
    </row>
    <row r="602" ht="15.75" customHeight="1">
      <c r="A602" s="113"/>
      <c r="B602" s="113"/>
      <c r="C602" s="113"/>
      <c r="D602" s="113"/>
      <c r="E602" s="113"/>
      <c r="F602" s="113"/>
      <c r="G602" s="113"/>
      <c r="H602" s="113"/>
      <c r="I602" s="113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  <c r="AC602" s="113"/>
      <c r="AD602" s="113"/>
      <c r="AE602" s="113"/>
    </row>
    <row r="603" ht="15.75" customHeight="1">
      <c r="A603" s="113"/>
      <c r="B603" s="113"/>
      <c r="C603" s="113"/>
      <c r="D603" s="113"/>
      <c r="E603" s="113"/>
      <c r="F603" s="113"/>
      <c r="G603" s="113"/>
      <c r="H603" s="113"/>
      <c r="I603" s="113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  <c r="AC603" s="113"/>
      <c r="AD603" s="113"/>
      <c r="AE603" s="113"/>
    </row>
    <row r="604" ht="15.75" customHeight="1">
      <c r="A604" s="113"/>
      <c r="B604" s="113"/>
      <c r="C604" s="113"/>
      <c r="D604" s="113"/>
      <c r="E604" s="113"/>
      <c r="F604" s="113"/>
      <c r="G604" s="113"/>
      <c r="H604" s="113"/>
      <c r="I604" s="113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  <c r="AC604" s="113"/>
      <c r="AD604" s="113"/>
      <c r="AE604" s="113"/>
    </row>
    <row r="605" ht="15.75" customHeight="1">
      <c r="A605" s="113"/>
      <c r="B605" s="113"/>
      <c r="C605" s="113"/>
      <c r="D605" s="113"/>
      <c r="E605" s="113"/>
      <c r="F605" s="113"/>
      <c r="G605" s="113"/>
      <c r="H605" s="113"/>
      <c r="I605" s="113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  <c r="AC605" s="113"/>
      <c r="AD605" s="113"/>
      <c r="AE605" s="113"/>
    </row>
    <row r="606" ht="15.75" customHeight="1">
      <c r="A606" s="113"/>
      <c r="B606" s="113"/>
      <c r="C606" s="113"/>
      <c r="D606" s="113"/>
      <c r="E606" s="113"/>
      <c r="F606" s="113"/>
      <c r="G606" s="113"/>
      <c r="H606" s="113"/>
      <c r="I606" s="113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  <c r="AC606" s="113"/>
      <c r="AD606" s="113"/>
      <c r="AE606" s="113"/>
    </row>
    <row r="607" ht="15.75" customHeight="1">
      <c r="A607" s="113"/>
      <c r="B607" s="113"/>
      <c r="C607" s="113"/>
      <c r="D607" s="113"/>
      <c r="E607" s="113"/>
      <c r="F607" s="113"/>
      <c r="G607" s="113"/>
      <c r="H607" s="113"/>
      <c r="I607" s="113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  <c r="AC607" s="113"/>
      <c r="AD607" s="113"/>
      <c r="AE607" s="113"/>
    </row>
    <row r="608" ht="15.75" customHeight="1">
      <c r="A608" s="113"/>
      <c r="B608" s="113"/>
      <c r="C608" s="113"/>
      <c r="D608" s="113"/>
      <c r="E608" s="113"/>
      <c r="F608" s="113"/>
      <c r="G608" s="113"/>
      <c r="H608" s="113"/>
      <c r="I608" s="113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  <c r="AC608" s="113"/>
      <c r="AD608" s="113"/>
      <c r="AE608" s="113"/>
    </row>
    <row r="609" ht="15.75" customHeight="1">
      <c r="A609" s="113"/>
      <c r="B609" s="113"/>
      <c r="C609" s="113"/>
      <c r="D609" s="113"/>
      <c r="E609" s="113"/>
      <c r="F609" s="113"/>
      <c r="G609" s="113"/>
      <c r="H609" s="113"/>
      <c r="I609" s="113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  <c r="AC609" s="113"/>
      <c r="AD609" s="113"/>
      <c r="AE609" s="113"/>
    </row>
    <row r="610" ht="15.75" customHeight="1">
      <c r="A610" s="113"/>
      <c r="B610" s="113"/>
      <c r="C610" s="113"/>
      <c r="D610" s="113"/>
      <c r="E610" s="113"/>
      <c r="F610" s="113"/>
      <c r="G610" s="113"/>
      <c r="H610" s="113"/>
      <c r="I610" s="113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  <c r="AC610" s="113"/>
      <c r="AD610" s="113"/>
      <c r="AE610" s="113"/>
    </row>
    <row r="611" ht="15.75" customHeight="1">
      <c r="A611" s="113"/>
      <c r="B611" s="113"/>
      <c r="C611" s="113"/>
      <c r="D611" s="113"/>
      <c r="E611" s="113"/>
      <c r="F611" s="113"/>
      <c r="G611" s="113"/>
      <c r="H611" s="113"/>
      <c r="I611" s="113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  <c r="AC611" s="113"/>
      <c r="AD611" s="113"/>
      <c r="AE611" s="113"/>
    </row>
    <row r="612" ht="15.75" customHeight="1">
      <c r="A612" s="113"/>
      <c r="B612" s="113"/>
      <c r="C612" s="113"/>
      <c r="D612" s="113"/>
      <c r="E612" s="113"/>
      <c r="F612" s="113"/>
      <c r="G612" s="113"/>
      <c r="H612" s="113"/>
      <c r="I612" s="113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  <c r="AC612" s="113"/>
      <c r="AD612" s="113"/>
      <c r="AE612" s="113"/>
    </row>
    <row r="613" ht="15.75" customHeight="1">
      <c r="A613" s="113"/>
      <c r="B613" s="113"/>
      <c r="C613" s="113"/>
      <c r="D613" s="113"/>
      <c r="E613" s="113"/>
      <c r="F613" s="113"/>
      <c r="G613" s="113"/>
      <c r="H613" s="113"/>
      <c r="I613" s="113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  <c r="AC613" s="113"/>
      <c r="AD613" s="113"/>
      <c r="AE613" s="113"/>
    </row>
    <row r="614" ht="15.75" customHeight="1">
      <c r="A614" s="113"/>
      <c r="B614" s="113"/>
      <c r="C614" s="113"/>
      <c r="D614" s="113"/>
      <c r="E614" s="113"/>
      <c r="F614" s="113"/>
      <c r="G614" s="113"/>
      <c r="H614" s="113"/>
      <c r="I614" s="113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  <c r="AC614" s="113"/>
      <c r="AD614" s="113"/>
      <c r="AE614" s="113"/>
    </row>
    <row r="615" ht="15.75" customHeight="1">
      <c r="A615" s="113"/>
      <c r="B615" s="113"/>
      <c r="C615" s="113"/>
      <c r="D615" s="113"/>
      <c r="E615" s="113"/>
      <c r="F615" s="113"/>
      <c r="G615" s="113"/>
      <c r="H615" s="113"/>
      <c r="I615" s="113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  <c r="AC615" s="113"/>
      <c r="AD615" s="113"/>
      <c r="AE615" s="113"/>
    </row>
    <row r="616" ht="15.75" customHeight="1">
      <c r="A616" s="113"/>
      <c r="B616" s="113"/>
      <c r="C616" s="113"/>
      <c r="D616" s="113"/>
      <c r="E616" s="113"/>
      <c r="F616" s="113"/>
      <c r="G616" s="113"/>
      <c r="H616" s="113"/>
      <c r="I616" s="113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  <c r="AC616" s="113"/>
      <c r="AD616" s="113"/>
      <c r="AE616" s="113"/>
    </row>
    <row r="617" ht="15.75" customHeight="1">
      <c r="A617" s="113"/>
      <c r="B617" s="113"/>
      <c r="C617" s="113"/>
      <c r="D617" s="113"/>
      <c r="E617" s="113"/>
      <c r="F617" s="113"/>
      <c r="G617" s="113"/>
      <c r="H617" s="113"/>
      <c r="I617" s="113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  <c r="AC617" s="113"/>
      <c r="AD617" s="113"/>
      <c r="AE617" s="113"/>
    </row>
    <row r="618" ht="15.75" customHeight="1">
      <c r="A618" s="113"/>
      <c r="B618" s="113"/>
      <c r="C618" s="113"/>
      <c r="D618" s="113"/>
      <c r="E618" s="113"/>
      <c r="F618" s="113"/>
      <c r="G618" s="113"/>
      <c r="H618" s="113"/>
      <c r="I618" s="113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  <c r="AC618" s="113"/>
      <c r="AD618" s="113"/>
      <c r="AE618" s="113"/>
    </row>
    <row r="619" ht="15.75" customHeight="1">
      <c r="A619" s="113"/>
      <c r="B619" s="113"/>
      <c r="C619" s="113"/>
      <c r="D619" s="113"/>
      <c r="E619" s="113"/>
      <c r="F619" s="113"/>
      <c r="G619" s="113"/>
      <c r="H619" s="113"/>
      <c r="I619" s="113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  <c r="AC619" s="113"/>
      <c r="AD619" s="113"/>
      <c r="AE619" s="113"/>
    </row>
    <row r="620" ht="15.75" customHeight="1">
      <c r="A620" s="113"/>
      <c r="B620" s="113"/>
      <c r="C620" s="113"/>
      <c r="D620" s="113"/>
      <c r="E620" s="113"/>
      <c r="F620" s="113"/>
      <c r="G620" s="113"/>
      <c r="H620" s="113"/>
      <c r="I620" s="113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  <c r="AC620" s="113"/>
      <c r="AD620" s="113"/>
      <c r="AE620" s="113"/>
    </row>
    <row r="621" ht="15.75" customHeight="1">
      <c r="A621" s="113"/>
      <c r="B621" s="113"/>
      <c r="C621" s="113"/>
      <c r="D621" s="113"/>
      <c r="E621" s="113"/>
      <c r="F621" s="113"/>
      <c r="G621" s="113"/>
      <c r="H621" s="113"/>
      <c r="I621" s="113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  <c r="AC621" s="113"/>
      <c r="AD621" s="113"/>
      <c r="AE621" s="113"/>
    </row>
    <row r="622" ht="15.75" customHeight="1">
      <c r="A622" s="113"/>
      <c r="B622" s="113"/>
      <c r="C622" s="113"/>
      <c r="D622" s="113"/>
      <c r="E622" s="113"/>
      <c r="F622" s="113"/>
      <c r="G622" s="113"/>
      <c r="H622" s="113"/>
      <c r="I622" s="113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  <c r="AC622" s="113"/>
      <c r="AD622" s="113"/>
      <c r="AE622" s="113"/>
    </row>
    <row r="623" ht="15.75" customHeight="1">
      <c r="A623" s="113"/>
      <c r="B623" s="113"/>
      <c r="C623" s="113"/>
      <c r="D623" s="113"/>
      <c r="E623" s="113"/>
      <c r="F623" s="113"/>
      <c r="G623" s="113"/>
      <c r="H623" s="113"/>
      <c r="I623" s="113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  <c r="AC623" s="113"/>
      <c r="AD623" s="113"/>
      <c r="AE623" s="113"/>
    </row>
    <row r="624" ht="15.75" customHeight="1">
      <c r="A624" s="113"/>
      <c r="B624" s="113"/>
      <c r="C624" s="113"/>
      <c r="D624" s="113"/>
      <c r="E624" s="113"/>
      <c r="F624" s="113"/>
      <c r="G624" s="113"/>
      <c r="H624" s="113"/>
      <c r="I624" s="113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  <c r="AC624" s="113"/>
      <c r="AD624" s="113"/>
      <c r="AE624" s="113"/>
    </row>
    <row r="625" ht="15.75" customHeight="1">
      <c r="A625" s="113"/>
      <c r="B625" s="113"/>
      <c r="C625" s="113"/>
      <c r="D625" s="113"/>
      <c r="E625" s="113"/>
      <c r="F625" s="113"/>
      <c r="G625" s="113"/>
      <c r="H625" s="113"/>
      <c r="I625" s="113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  <c r="AC625" s="113"/>
      <c r="AD625" s="113"/>
      <c r="AE625" s="113"/>
    </row>
    <row r="626" ht="15.75" customHeight="1">
      <c r="A626" s="113"/>
      <c r="B626" s="113"/>
      <c r="C626" s="113"/>
      <c r="D626" s="113"/>
      <c r="E626" s="113"/>
      <c r="F626" s="113"/>
      <c r="G626" s="113"/>
      <c r="H626" s="113"/>
      <c r="I626" s="113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  <c r="AC626" s="113"/>
      <c r="AD626" s="113"/>
      <c r="AE626" s="113"/>
    </row>
    <row r="627" ht="15.75" customHeight="1">
      <c r="A627" s="113"/>
      <c r="B627" s="113"/>
      <c r="C627" s="113"/>
      <c r="D627" s="113"/>
      <c r="E627" s="113"/>
      <c r="F627" s="113"/>
      <c r="G627" s="113"/>
      <c r="H627" s="113"/>
      <c r="I627" s="113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  <c r="AC627" s="113"/>
      <c r="AD627" s="113"/>
      <c r="AE627" s="113"/>
    </row>
    <row r="628" ht="15.75" customHeight="1">
      <c r="A628" s="113"/>
      <c r="B628" s="113"/>
      <c r="C628" s="113"/>
      <c r="D628" s="113"/>
      <c r="E628" s="113"/>
      <c r="F628" s="113"/>
      <c r="G628" s="113"/>
      <c r="H628" s="113"/>
      <c r="I628" s="113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  <c r="AC628" s="113"/>
      <c r="AD628" s="113"/>
      <c r="AE628" s="113"/>
    </row>
    <row r="629" ht="15.75" customHeight="1">
      <c r="A629" s="113"/>
      <c r="B629" s="113"/>
      <c r="C629" s="113"/>
      <c r="D629" s="113"/>
      <c r="E629" s="113"/>
      <c r="F629" s="113"/>
      <c r="G629" s="113"/>
      <c r="H629" s="113"/>
      <c r="I629" s="113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  <c r="AC629" s="113"/>
      <c r="AD629" s="113"/>
      <c r="AE629" s="113"/>
    </row>
    <row r="630" ht="15.75" customHeight="1">
      <c r="A630" s="113"/>
      <c r="B630" s="113"/>
      <c r="C630" s="113"/>
      <c r="D630" s="113"/>
      <c r="E630" s="113"/>
      <c r="F630" s="113"/>
      <c r="G630" s="113"/>
      <c r="H630" s="113"/>
      <c r="I630" s="113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  <c r="AC630" s="113"/>
      <c r="AD630" s="113"/>
      <c r="AE630" s="113"/>
    </row>
    <row r="631" ht="15.75" customHeight="1">
      <c r="A631" s="113"/>
      <c r="B631" s="113"/>
      <c r="C631" s="113"/>
      <c r="D631" s="113"/>
      <c r="E631" s="113"/>
      <c r="F631" s="113"/>
      <c r="G631" s="113"/>
      <c r="H631" s="113"/>
      <c r="I631" s="113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  <c r="AC631" s="113"/>
      <c r="AD631" s="113"/>
      <c r="AE631" s="113"/>
    </row>
    <row r="632" ht="15.75" customHeight="1">
      <c r="A632" s="113"/>
      <c r="B632" s="113"/>
      <c r="C632" s="113"/>
      <c r="D632" s="113"/>
      <c r="E632" s="113"/>
      <c r="F632" s="113"/>
      <c r="G632" s="113"/>
      <c r="H632" s="113"/>
      <c r="I632" s="113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  <c r="AC632" s="113"/>
      <c r="AD632" s="113"/>
      <c r="AE632" s="113"/>
    </row>
    <row r="633" ht="15.75" customHeight="1">
      <c r="A633" s="113"/>
      <c r="B633" s="113"/>
      <c r="C633" s="113"/>
      <c r="D633" s="113"/>
      <c r="E633" s="113"/>
      <c r="F633" s="113"/>
      <c r="G633" s="113"/>
      <c r="H633" s="113"/>
      <c r="I633" s="113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  <c r="AC633" s="113"/>
      <c r="AD633" s="113"/>
      <c r="AE633" s="113"/>
    </row>
    <row r="634" ht="15.75" customHeight="1">
      <c r="A634" s="113"/>
      <c r="B634" s="113"/>
      <c r="C634" s="113"/>
      <c r="D634" s="113"/>
      <c r="E634" s="113"/>
      <c r="F634" s="113"/>
      <c r="G634" s="113"/>
      <c r="H634" s="113"/>
      <c r="I634" s="113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  <c r="AC634" s="113"/>
      <c r="AD634" s="113"/>
      <c r="AE634" s="113"/>
    </row>
    <row r="635" ht="15.75" customHeight="1">
      <c r="A635" s="113"/>
      <c r="B635" s="113"/>
      <c r="C635" s="113"/>
      <c r="D635" s="113"/>
      <c r="E635" s="113"/>
      <c r="F635" s="113"/>
      <c r="G635" s="113"/>
      <c r="H635" s="113"/>
      <c r="I635" s="113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  <c r="AC635" s="113"/>
      <c r="AD635" s="113"/>
      <c r="AE635" s="113"/>
    </row>
    <row r="636" ht="15.75" customHeight="1">
      <c r="A636" s="113"/>
      <c r="B636" s="113"/>
      <c r="C636" s="113"/>
      <c r="D636" s="113"/>
      <c r="E636" s="113"/>
      <c r="F636" s="113"/>
      <c r="G636" s="113"/>
      <c r="H636" s="113"/>
      <c r="I636" s="113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  <c r="AC636" s="113"/>
      <c r="AD636" s="113"/>
      <c r="AE636" s="113"/>
    </row>
    <row r="637" ht="15.75" customHeight="1">
      <c r="A637" s="113"/>
      <c r="B637" s="113"/>
      <c r="C637" s="113"/>
      <c r="D637" s="113"/>
      <c r="E637" s="113"/>
      <c r="F637" s="113"/>
      <c r="G637" s="113"/>
      <c r="H637" s="113"/>
      <c r="I637" s="113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  <c r="AC637" s="113"/>
      <c r="AD637" s="113"/>
      <c r="AE637" s="113"/>
    </row>
    <row r="638" ht="15.75" customHeight="1">
      <c r="A638" s="113"/>
      <c r="B638" s="113"/>
      <c r="C638" s="113"/>
      <c r="D638" s="113"/>
      <c r="E638" s="113"/>
      <c r="F638" s="113"/>
      <c r="G638" s="113"/>
      <c r="H638" s="113"/>
      <c r="I638" s="113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  <c r="AC638" s="113"/>
      <c r="AD638" s="113"/>
      <c r="AE638" s="113"/>
    </row>
    <row r="639" ht="15.75" customHeight="1">
      <c r="A639" s="113"/>
      <c r="B639" s="113"/>
      <c r="C639" s="113"/>
      <c r="D639" s="113"/>
      <c r="E639" s="113"/>
      <c r="F639" s="113"/>
      <c r="G639" s="113"/>
      <c r="H639" s="113"/>
      <c r="I639" s="113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  <c r="AC639" s="113"/>
      <c r="AD639" s="113"/>
      <c r="AE639" s="113"/>
    </row>
    <row r="640" ht="15.75" customHeight="1">
      <c r="A640" s="113"/>
      <c r="B640" s="113"/>
      <c r="C640" s="113"/>
      <c r="D640" s="113"/>
      <c r="E640" s="113"/>
      <c r="F640" s="113"/>
      <c r="G640" s="113"/>
      <c r="H640" s="113"/>
      <c r="I640" s="113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  <c r="AC640" s="113"/>
      <c r="AD640" s="113"/>
      <c r="AE640" s="113"/>
    </row>
    <row r="641" ht="15.75" customHeight="1">
      <c r="A641" s="113"/>
      <c r="B641" s="113"/>
      <c r="C641" s="113"/>
      <c r="D641" s="113"/>
      <c r="E641" s="113"/>
      <c r="F641" s="113"/>
      <c r="G641" s="113"/>
      <c r="H641" s="113"/>
      <c r="I641" s="113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  <c r="AC641" s="113"/>
      <c r="AD641" s="113"/>
      <c r="AE641" s="113"/>
    </row>
    <row r="642" ht="15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  <c r="AC642" s="113"/>
      <c r="AD642" s="113"/>
      <c r="AE642" s="113"/>
    </row>
    <row r="643" ht="15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  <c r="AC643" s="113"/>
      <c r="AD643" s="113"/>
      <c r="AE643" s="113"/>
    </row>
    <row r="644" ht="15.75" customHeight="1">
      <c r="A644" s="113"/>
      <c r="B644" s="113"/>
      <c r="C644" s="113"/>
      <c r="D644" s="113"/>
      <c r="E644" s="113"/>
      <c r="F644" s="113"/>
      <c r="G644" s="113"/>
      <c r="H644" s="113"/>
      <c r="I644" s="113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  <c r="AC644" s="113"/>
      <c r="AD644" s="113"/>
      <c r="AE644" s="113"/>
    </row>
    <row r="645" ht="15.75" customHeight="1">
      <c r="A645" s="113"/>
      <c r="B645" s="113"/>
      <c r="C645" s="113"/>
      <c r="D645" s="113"/>
      <c r="E645" s="113"/>
      <c r="F645" s="113"/>
      <c r="G645" s="113"/>
      <c r="H645" s="113"/>
      <c r="I645" s="113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  <c r="AC645" s="113"/>
      <c r="AD645" s="113"/>
      <c r="AE645" s="113"/>
    </row>
    <row r="646" ht="15.75" customHeight="1">
      <c r="A646" s="113"/>
      <c r="B646" s="113"/>
      <c r="C646" s="113"/>
      <c r="D646" s="113"/>
      <c r="E646" s="113"/>
      <c r="F646" s="113"/>
      <c r="G646" s="113"/>
      <c r="H646" s="113"/>
      <c r="I646" s="113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  <c r="AC646" s="113"/>
      <c r="AD646" s="113"/>
      <c r="AE646" s="113"/>
    </row>
    <row r="647" ht="15.75" customHeight="1">
      <c r="A647" s="113"/>
      <c r="B647" s="113"/>
      <c r="C647" s="113"/>
      <c r="D647" s="113"/>
      <c r="E647" s="113"/>
      <c r="F647" s="113"/>
      <c r="G647" s="113"/>
      <c r="H647" s="113"/>
      <c r="I647" s="113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  <c r="AC647" s="113"/>
      <c r="AD647" s="113"/>
      <c r="AE647" s="113"/>
    </row>
    <row r="648" ht="15.75" customHeight="1">
      <c r="A648" s="113"/>
      <c r="B648" s="113"/>
      <c r="C648" s="113"/>
      <c r="D648" s="113"/>
      <c r="E648" s="113"/>
      <c r="F648" s="113"/>
      <c r="G648" s="113"/>
      <c r="H648" s="113"/>
      <c r="I648" s="113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  <c r="AC648" s="113"/>
      <c r="AD648" s="113"/>
      <c r="AE648" s="113"/>
    </row>
    <row r="649" ht="15.75" customHeight="1">
      <c r="A649" s="113"/>
      <c r="B649" s="113"/>
      <c r="C649" s="113"/>
      <c r="D649" s="113"/>
      <c r="E649" s="113"/>
      <c r="F649" s="113"/>
      <c r="G649" s="113"/>
      <c r="H649" s="113"/>
      <c r="I649" s="113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  <c r="AC649" s="113"/>
      <c r="AD649" s="113"/>
      <c r="AE649" s="113"/>
    </row>
    <row r="650" ht="15.75" customHeight="1">
      <c r="A650" s="113"/>
      <c r="B650" s="113"/>
      <c r="C650" s="113"/>
      <c r="D650" s="113"/>
      <c r="E650" s="113"/>
      <c r="F650" s="113"/>
      <c r="G650" s="113"/>
      <c r="H650" s="113"/>
      <c r="I650" s="113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  <c r="AC650" s="113"/>
      <c r="AD650" s="113"/>
      <c r="AE650" s="113"/>
    </row>
    <row r="651" ht="15.75" customHeight="1">
      <c r="A651" s="113"/>
      <c r="B651" s="113"/>
      <c r="C651" s="113"/>
      <c r="D651" s="113"/>
      <c r="E651" s="113"/>
      <c r="F651" s="113"/>
      <c r="G651" s="113"/>
      <c r="H651" s="113"/>
      <c r="I651" s="113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  <c r="AC651" s="113"/>
      <c r="AD651" s="113"/>
      <c r="AE651" s="113"/>
    </row>
    <row r="652" ht="15.75" customHeight="1">
      <c r="A652" s="113"/>
      <c r="B652" s="113"/>
      <c r="C652" s="113"/>
      <c r="D652" s="113"/>
      <c r="E652" s="113"/>
      <c r="F652" s="113"/>
      <c r="G652" s="113"/>
      <c r="H652" s="113"/>
      <c r="I652" s="113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  <c r="AC652" s="113"/>
      <c r="AD652" s="113"/>
      <c r="AE652" s="113"/>
    </row>
    <row r="653" ht="15.75" customHeight="1">
      <c r="A653" s="113"/>
      <c r="B653" s="113"/>
      <c r="C653" s="113"/>
      <c r="D653" s="113"/>
      <c r="E653" s="113"/>
      <c r="F653" s="113"/>
      <c r="G653" s="113"/>
      <c r="H653" s="113"/>
      <c r="I653" s="113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  <c r="AC653" s="113"/>
      <c r="AD653" s="113"/>
      <c r="AE653" s="113"/>
    </row>
    <row r="654" ht="15.75" customHeight="1">
      <c r="A654" s="113"/>
      <c r="B654" s="113"/>
      <c r="C654" s="113"/>
      <c r="D654" s="113"/>
      <c r="E654" s="113"/>
      <c r="F654" s="113"/>
      <c r="G654" s="113"/>
      <c r="H654" s="113"/>
      <c r="I654" s="113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  <c r="AC654" s="113"/>
      <c r="AD654" s="113"/>
      <c r="AE654" s="113"/>
    </row>
    <row r="655" ht="15.75" customHeight="1">
      <c r="A655" s="113"/>
      <c r="B655" s="113"/>
      <c r="C655" s="113"/>
      <c r="D655" s="113"/>
      <c r="E655" s="113"/>
      <c r="F655" s="113"/>
      <c r="G655" s="113"/>
      <c r="H655" s="113"/>
      <c r="I655" s="113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  <c r="AC655" s="113"/>
      <c r="AD655" s="113"/>
      <c r="AE655" s="113"/>
    </row>
    <row r="656" ht="15.75" customHeight="1">
      <c r="A656" s="113"/>
      <c r="B656" s="113"/>
      <c r="C656" s="113"/>
      <c r="D656" s="113"/>
      <c r="E656" s="113"/>
      <c r="F656" s="113"/>
      <c r="G656" s="113"/>
      <c r="H656" s="113"/>
      <c r="I656" s="113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  <c r="AC656" s="113"/>
      <c r="AD656" s="113"/>
      <c r="AE656" s="113"/>
    </row>
    <row r="657" ht="15.75" customHeight="1">
      <c r="A657" s="113"/>
      <c r="B657" s="113"/>
      <c r="C657" s="113"/>
      <c r="D657" s="113"/>
      <c r="E657" s="113"/>
      <c r="F657" s="113"/>
      <c r="G657" s="113"/>
      <c r="H657" s="113"/>
      <c r="I657" s="113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  <c r="AC657" s="113"/>
      <c r="AD657" s="113"/>
      <c r="AE657" s="113"/>
    </row>
    <row r="658" ht="15.75" customHeight="1">
      <c r="A658" s="113"/>
      <c r="B658" s="113"/>
      <c r="C658" s="113"/>
      <c r="D658" s="113"/>
      <c r="E658" s="113"/>
      <c r="F658" s="113"/>
      <c r="G658" s="113"/>
      <c r="H658" s="113"/>
      <c r="I658" s="113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  <c r="AC658" s="113"/>
      <c r="AD658" s="113"/>
      <c r="AE658" s="113"/>
    </row>
    <row r="659" ht="15.75" customHeight="1">
      <c r="A659" s="113"/>
      <c r="B659" s="113"/>
      <c r="C659" s="113"/>
      <c r="D659" s="113"/>
      <c r="E659" s="113"/>
      <c r="F659" s="113"/>
      <c r="G659" s="113"/>
      <c r="H659" s="113"/>
      <c r="I659" s="113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  <c r="AC659" s="113"/>
      <c r="AD659" s="113"/>
      <c r="AE659" s="113"/>
    </row>
    <row r="660" ht="15.75" customHeight="1">
      <c r="A660" s="113"/>
      <c r="B660" s="113"/>
      <c r="C660" s="113"/>
      <c r="D660" s="113"/>
      <c r="E660" s="113"/>
      <c r="F660" s="113"/>
      <c r="G660" s="113"/>
      <c r="H660" s="113"/>
      <c r="I660" s="113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  <c r="AC660" s="113"/>
      <c r="AD660" s="113"/>
      <c r="AE660" s="113"/>
    </row>
    <row r="661" ht="15.75" customHeight="1">
      <c r="A661" s="113"/>
      <c r="B661" s="113"/>
      <c r="C661" s="113"/>
      <c r="D661" s="113"/>
      <c r="E661" s="113"/>
      <c r="F661" s="113"/>
      <c r="G661" s="113"/>
      <c r="H661" s="113"/>
      <c r="I661" s="113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  <c r="AC661" s="113"/>
      <c r="AD661" s="113"/>
      <c r="AE661" s="113"/>
    </row>
    <row r="662" ht="15.75" customHeight="1">
      <c r="A662" s="113"/>
      <c r="B662" s="113"/>
      <c r="C662" s="113"/>
      <c r="D662" s="113"/>
      <c r="E662" s="113"/>
      <c r="F662" s="113"/>
      <c r="G662" s="113"/>
      <c r="H662" s="113"/>
      <c r="I662" s="113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  <c r="AC662" s="113"/>
      <c r="AD662" s="113"/>
      <c r="AE662" s="113"/>
    </row>
    <row r="663" ht="15.75" customHeight="1">
      <c r="A663" s="113"/>
      <c r="B663" s="113"/>
      <c r="C663" s="113"/>
      <c r="D663" s="113"/>
      <c r="E663" s="113"/>
      <c r="F663" s="113"/>
      <c r="G663" s="113"/>
      <c r="H663" s="113"/>
      <c r="I663" s="113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  <c r="AC663" s="113"/>
      <c r="AD663" s="113"/>
      <c r="AE663" s="113"/>
    </row>
    <row r="664" ht="15.75" customHeight="1">
      <c r="A664" s="113"/>
      <c r="B664" s="113"/>
      <c r="C664" s="113"/>
      <c r="D664" s="113"/>
      <c r="E664" s="113"/>
      <c r="F664" s="113"/>
      <c r="G664" s="113"/>
      <c r="H664" s="113"/>
      <c r="I664" s="113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  <c r="AC664" s="113"/>
      <c r="AD664" s="113"/>
      <c r="AE664" s="113"/>
    </row>
    <row r="665" ht="15.75" customHeight="1">
      <c r="A665" s="113"/>
      <c r="B665" s="113"/>
      <c r="C665" s="113"/>
      <c r="D665" s="113"/>
      <c r="E665" s="113"/>
      <c r="F665" s="113"/>
      <c r="G665" s="113"/>
      <c r="H665" s="113"/>
      <c r="I665" s="113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  <c r="AC665" s="113"/>
      <c r="AD665" s="113"/>
      <c r="AE665" s="113"/>
    </row>
    <row r="666" ht="15.75" customHeight="1">
      <c r="A666" s="113"/>
      <c r="B666" s="113"/>
      <c r="C666" s="113"/>
      <c r="D666" s="113"/>
      <c r="E666" s="113"/>
      <c r="F666" s="113"/>
      <c r="G666" s="113"/>
      <c r="H666" s="113"/>
      <c r="I666" s="113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  <c r="AC666" s="113"/>
      <c r="AD666" s="113"/>
      <c r="AE666" s="113"/>
    </row>
    <row r="667" ht="15.75" customHeight="1">
      <c r="A667" s="113"/>
      <c r="B667" s="113"/>
      <c r="C667" s="113"/>
      <c r="D667" s="113"/>
      <c r="E667" s="113"/>
      <c r="F667" s="113"/>
      <c r="G667" s="113"/>
      <c r="H667" s="113"/>
      <c r="I667" s="113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  <c r="AC667" s="113"/>
      <c r="AD667" s="113"/>
      <c r="AE667" s="113"/>
    </row>
    <row r="668" ht="15.75" customHeight="1">
      <c r="A668" s="113"/>
      <c r="B668" s="113"/>
      <c r="C668" s="113"/>
      <c r="D668" s="113"/>
      <c r="E668" s="113"/>
      <c r="F668" s="113"/>
      <c r="G668" s="113"/>
      <c r="H668" s="113"/>
      <c r="I668" s="113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  <c r="AC668" s="113"/>
      <c r="AD668" s="113"/>
      <c r="AE668" s="113"/>
    </row>
    <row r="669" ht="15.75" customHeight="1">
      <c r="A669" s="113"/>
      <c r="B669" s="113"/>
      <c r="C669" s="113"/>
      <c r="D669" s="113"/>
      <c r="E669" s="113"/>
      <c r="F669" s="113"/>
      <c r="G669" s="113"/>
      <c r="H669" s="113"/>
      <c r="I669" s="113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  <c r="AC669" s="113"/>
      <c r="AD669" s="113"/>
      <c r="AE669" s="113"/>
    </row>
    <row r="670" ht="15.75" customHeight="1">
      <c r="A670" s="113"/>
      <c r="B670" s="113"/>
      <c r="C670" s="113"/>
      <c r="D670" s="113"/>
      <c r="E670" s="113"/>
      <c r="F670" s="113"/>
      <c r="G670" s="113"/>
      <c r="H670" s="113"/>
      <c r="I670" s="113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  <c r="AC670" s="113"/>
      <c r="AD670" s="113"/>
      <c r="AE670" s="113"/>
    </row>
    <row r="671" ht="15.75" customHeight="1">
      <c r="A671" s="113"/>
      <c r="B671" s="113"/>
      <c r="C671" s="113"/>
      <c r="D671" s="113"/>
      <c r="E671" s="113"/>
      <c r="F671" s="113"/>
      <c r="G671" s="113"/>
      <c r="H671" s="113"/>
      <c r="I671" s="113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  <c r="AC671" s="113"/>
      <c r="AD671" s="113"/>
      <c r="AE671" s="113"/>
    </row>
    <row r="672" ht="15.75" customHeight="1">
      <c r="A672" s="113"/>
      <c r="B672" s="113"/>
      <c r="C672" s="113"/>
      <c r="D672" s="113"/>
      <c r="E672" s="113"/>
      <c r="F672" s="113"/>
      <c r="G672" s="113"/>
      <c r="H672" s="113"/>
      <c r="I672" s="113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  <c r="AC672" s="113"/>
      <c r="AD672" s="113"/>
      <c r="AE672" s="113"/>
    </row>
    <row r="673" ht="15.75" customHeight="1">
      <c r="A673" s="113"/>
      <c r="B673" s="113"/>
      <c r="C673" s="113"/>
      <c r="D673" s="113"/>
      <c r="E673" s="113"/>
      <c r="F673" s="113"/>
      <c r="G673" s="113"/>
      <c r="H673" s="113"/>
      <c r="I673" s="113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  <c r="AC673" s="113"/>
      <c r="AD673" s="113"/>
      <c r="AE673" s="113"/>
    </row>
    <row r="674" ht="15.75" customHeight="1">
      <c r="A674" s="113"/>
      <c r="B674" s="113"/>
      <c r="C674" s="113"/>
      <c r="D674" s="113"/>
      <c r="E674" s="113"/>
      <c r="F674" s="113"/>
      <c r="G674" s="113"/>
      <c r="H674" s="113"/>
      <c r="I674" s="113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  <c r="AC674" s="113"/>
      <c r="AD674" s="113"/>
      <c r="AE674" s="113"/>
    </row>
    <row r="675" ht="15.75" customHeight="1">
      <c r="A675" s="113"/>
      <c r="B675" s="113"/>
      <c r="C675" s="113"/>
      <c r="D675" s="113"/>
      <c r="E675" s="113"/>
      <c r="F675" s="113"/>
      <c r="G675" s="113"/>
      <c r="H675" s="113"/>
      <c r="I675" s="113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  <c r="AC675" s="113"/>
      <c r="AD675" s="113"/>
      <c r="AE675" s="113"/>
    </row>
    <row r="676" ht="15.75" customHeight="1">
      <c r="A676" s="113"/>
      <c r="B676" s="113"/>
      <c r="C676" s="113"/>
      <c r="D676" s="113"/>
      <c r="E676" s="113"/>
      <c r="F676" s="113"/>
      <c r="G676" s="113"/>
      <c r="H676" s="113"/>
      <c r="I676" s="113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  <c r="AC676" s="113"/>
      <c r="AD676" s="113"/>
      <c r="AE676" s="113"/>
    </row>
    <row r="677" ht="15.75" customHeight="1">
      <c r="A677" s="113"/>
      <c r="B677" s="113"/>
      <c r="C677" s="113"/>
      <c r="D677" s="113"/>
      <c r="E677" s="113"/>
      <c r="F677" s="113"/>
      <c r="G677" s="113"/>
      <c r="H677" s="113"/>
      <c r="I677" s="113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  <c r="AC677" s="113"/>
      <c r="AD677" s="113"/>
      <c r="AE677" s="113"/>
    </row>
    <row r="678" ht="15.75" customHeight="1">
      <c r="A678" s="113"/>
      <c r="B678" s="113"/>
      <c r="C678" s="113"/>
      <c r="D678" s="113"/>
      <c r="E678" s="113"/>
      <c r="F678" s="113"/>
      <c r="G678" s="113"/>
      <c r="H678" s="113"/>
      <c r="I678" s="113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  <c r="AC678" s="113"/>
      <c r="AD678" s="113"/>
      <c r="AE678" s="113"/>
    </row>
    <row r="679" ht="15.75" customHeight="1">
      <c r="A679" s="113"/>
      <c r="B679" s="113"/>
      <c r="C679" s="113"/>
      <c r="D679" s="113"/>
      <c r="E679" s="113"/>
      <c r="F679" s="113"/>
      <c r="G679" s="113"/>
      <c r="H679" s="113"/>
      <c r="I679" s="113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  <c r="AC679" s="113"/>
      <c r="AD679" s="113"/>
      <c r="AE679" s="113"/>
    </row>
    <row r="680" ht="15.75" customHeight="1">
      <c r="A680" s="113"/>
      <c r="B680" s="113"/>
      <c r="C680" s="113"/>
      <c r="D680" s="113"/>
      <c r="E680" s="113"/>
      <c r="F680" s="113"/>
      <c r="G680" s="113"/>
      <c r="H680" s="113"/>
      <c r="I680" s="113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  <c r="AC680" s="113"/>
      <c r="AD680" s="113"/>
      <c r="AE680" s="113"/>
    </row>
    <row r="681" ht="15.75" customHeight="1">
      <c r="A681" s="113"/>
      <c r="B681" s="113"/>
      <c r="C681" s="113"/>
      <c r="D681" s="113"/>
      <c r="E681" s="113"/>
      <c r="F681" s="113"/>
      <c r="G681" s="113"/>
      <c r="H681" s="113"/>
      <c r="I681" s="113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  <c r="AC681" s="113"/>
      <c r="AD681" s="113"/>
      <c r="AE681" s="113"/>
    </row>
    <row r="682" ht="15.75" customHeight="1">
      <c r="A682" s="113"/>
      <c r="B682" s="113"/>
      <c r="C682" s="113"/>
      <c r="D682" s="113"/>
      <c r="E682" s="113"/>
      <c r="F682" s="113"/>
      <c r="G682" s="113"/>
      <c r="H682" s="113"/>
      <c r="I682" s="113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  <c r="AC682" s="113"/>
      <c r="AD682" s="113"/>
      <c r="AE682" s="113"/>
    </row>
    <row r="683" ht="15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  <c r="AC683" s="113"/>
      <c r="AD683" s="113"/>
      <c r="AE683" s="113"/>
    </row>
    <row r="684" ht="15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  <c r="AC684" s="113"/>
      <c r="AD684" s="113"/>
      <c r="AE684" s="113"/>
    </row>
    <row r="685" ht="15.75" customHeight="1">
      <c r="A685" s="113"/>
      <c r="B685" s="113"/>
      <c r="C685" s="113"/>
      <c r="D685" s="113"/>
      <c r="E685" s="113"/>
      <c r="F685" s="113"/>
      <c r="G685" s="113"/>
      <c r="H685" s="113"/>
      <c r="I685" s="113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  <c r="AC685" s="113"/>
      <c r="AD685" s="113"/>
      <c r="AE685" s="113"/>
    </row>
    <row r="686" ht="15.75" customHeight="1">
      <c r="A686" s="113"/>
      <c r="B686" s="113"/>
      <c r="C686" s="113"/>
      <c r="D686" s="113"/>
      <c r="E686" s="113"/>
      <c r="F686" s="113"/>
      <c r="G686" s="113"/>
      <c r="H686" s="113"/>
      <c r="I686" s="113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  <c r="AC686" s="113"/>
      <c r="AD686" s="113"/>
      <c r="AE686" s="113"/>
    </row>
    <row r="687" ht="15.75" customHeight="1">
      <c r="A687" s="113"/>
      <c r="B687" s="113"/>
      <c r="C687" s="113"/>
      <c r="D687" s="113"/>
      <c r="E687" s="113"/>
      <c r="F687" s="113"/>
      <c r="G687" s="113"/>
      <c r="H687" s="113"/>
      <c r="I687" s="113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  <c r="AC687" s="113"/>
      <c r="AD687" s="113"/>
      <c r="AE687" s="113"/>
    </row>
    <row r="688" ht="15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  <c r="AC688" s="113"/>
      <c r="AD688" s="113"/>
      <c r="AE688" s="113"/>
    </row>
    <row r="689" ht="15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  <c r="AC689" s="113"/>
      <c r="AD689" s="113"/>
      <c r="AE689" s="113"/>
    </row>
    <row r="690" ht="15.75" customHeight="1">
      <c r="A690" s="113"/>
      <c r="B690" s="113"/>
      <c r="C690" s="113"/>
      <c r="D690" s="113"/>
      <c r="E690" s="113"/>
      <c r="F690" s="113"/>
      <c r="G690" s="113"/>
      <c r="H690" s="113"/>
      <c r="I690" s="113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  <c r="AC690" s="113"/>
      <c r="AD690" s="113"/>
      <c r="AE690" s="113"/>
    </row>
    <row r="691" ht="15.75" customHeight="1">
      <c r="A691" s="113"/>
      <c r="B691" s="113"/>
      <c r="C691" s="113"/>
      <c r="D691" s="113"/>
      <c r="E691" s="113"/>
      <c r="F691" s="113"/>
      <c r="G691" s="113"/>
      <c r="H691" s="113"/>
      <c r="I691" s="113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  <c r="AC691" s="113"/>
      <c r="AD691" s="113"/>
      <c r="AE691" s="113"/>
    </row>
    <row r="692" ht="15.75" customHeight="1">
      <c r="A692" s="113"/>
      <c r="B692" s="113"/>
      <c r="C692" s="113"/>
      <c r="D692" s="113"/>
      <c r="E692" s="113"/>
      <c r="F692" s="113"/>
      <c r="G692" s="113"/>
      <c r="H692" s="113"/>
      <c r="I692" s="113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  <c r="AC692" s="113"/>
      <c r="AD692" s="113"/>
      <c r="AE692" s="113"/>
    </row>
    <row r="693" ht="15.75" customHeight="1">
      <c r="A693" s="113"/>
      <c r="B693" s="113"/>
      <c r="C693" s="113"/>
      <c r="D693" s="113"/>
      <c r="E693" s="113"/>
      <c r="F693" s="113"/>
      <c r="G693" s="113"/>
      <c r="H693" s="113"/>
      <c r="I693" s="113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  <c r="AC693" s="113"/>
      <c r="AD693" s="113"/>
      <c r="AE693" s="113"/>
    </row>
    <row r="694" ht="15.75" customHeight="1">
      <c r="A694" s="113"/>
      <c r="B694" s="113"/>
      <c r="C694" s="113"/>
      <c r="D694" s="113"/>
      <c r="E694" s="113"/>
      <c r="F694" s="113"/>
      <c r="G694" s="113"/>
      <c r="H694" s="113"/>
      <c r="I694" s="113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  <c r="AC694" s="113"/>
      <c r="AD694" s="113"/>
      <c r="AE694" s="113"/>
    </row>
    <row r="695" ht="15.75" customHeight="1">
      <c r="A695" s="113"/>
      <c r="B695" s="113"/>
      <c r="C695" s="113"/>
      <c r="D695" s="113"/>
      <c r="E695" s="113"/>
      <c r="F695" s="113"/>
      <c r="G695" s="113"/>
      <c r="H695" s="113"/>
      <c r="I695" s="113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  <c r="AC695" s="113"/>
      <c r="AD695" s="113"/>
      <c r="AE695" s="113"/>
    </row>
    <row r="696" ht="15.75" customHeight="1">
      <c r="A696" s="113"/>
      <c r="B696" s="113"/>
      <c r="C696" s="113"/>
      <c r="D696" s="113"/>
      <c r="E696" s="113"/>
      <c r="F696" s="113"/>
      <c r="G696" s="113"/>
      <c r="H696" s="113"/>
      <c r="I696" s="113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  <c r="AC696" s="113"/>
      <c r="AD696" s="113"/>
      <c r="AE696" s="113"/>
    </row>
    <row r="697" ht="15.75" customHeight="1">
      <c r="A697" s="113"/>
      <c r="B697" s="113"/>
      <c r="C697" s="113"/>
      <c r="D697" s="113"/>
      <c r="E697" s="113"/>
      <c r="F697" s="113"/>
      <c r="G697" s="113"/>
      <c r="H697" s="113"/>
      <c r="I697" s="113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  <c r="AC697" s="113"/>
      <c r="AD697" s="113"/>
      <c r="AE697" s="113"/>
    </row>
    <row r="698" ht="15.75" customHeight="1">
      <c r="A698" s="113"/>
      <c r="B698" s="113"/>
      <c r="C698" s="113"/>
      <c r="D698" s="113"/>
      <c r="E698" s="113"/>
      <c r="F698" s="113"/>
      <c r="G698" s="113"/>
      <c r="H698" s="113"/>
      <c r="I698" s="113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  <c r="AC698" s="113"/>
      <c r="AD698" s="113"/>
      <c r="AE698" s="113"/>
    </row>
    <row r="699" ht="15.75" customHeight="1">
      <c r="A699" s="113"/>
      <c r="B699" s="113"/>
      <c r="C699" s="113"/>
      <c r="D699" s="113"/>
      <c r="E699" s="113"/>
      <c r="F699" s="113"/>
      <c r="G699" s="113"/>
      <c r="H699" s="113"/>
      <c r="I699" s="113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  <c r="AC699" s="113"/>
      <c r="AD699" s="113"/>
      <c r="AE699" s="113"/>
    </row>
    <row r="700" ht="15.75" customHeight="1">
      <c r="A700" s="113"/>
      <c r="B700" s="113"/>
      <c r="C700" s="113"/>
      <c r="D700" s="113"/>
      <c r="E700" s="113"/>
      <c r="F700" s="113"/>
      <c r="G700" s="113"/>
      <c r="H700" s="113"/>
      <c r="I700" s="113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  <c r="AC700" s="113"/>
      <c r="AD700" s="113"/>
      <c r="AE700" s="113"/>
    </row>
    <row r="701" ht="15.75" customHeight="1">
      <c r="A701" s="113"/>
      <c r="B701" s="113"/>
      <c r="C701" s="113"/>
      <c r="D701" s="113"/>
      <c r="E701" s="113"/>
      <c r="F701" s="113"/>
      <c r="G701" s="113"/>
      <c r="H701" s="113"/>
      <c r="I701" s="113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  <c r="AC701" s="113"/>
      <c r="AD701" s="113"/>
      <c r="AE701" s="113"/>
    </row>
    <row r="702" ht="15.75" customHeight="1">
      <c r="A702" s="113"/>
      <c r="B702" s="113"/>
      <c r="C702" s="113"/>
      <c r="D702" s="113"/>
      <c r="E702" s="113"/>
      <c r="F702" s="113"/>
      <c r="G702" s="113"/>
      <c r="H702" s="113"/>
      <c r="I702" s="113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  <c r="AC702" s="113"/>
      <c r="AD702" s="113"/>
      <c r="AE702" s="113"/>
    </row>
    <row r="703" ht="15.75" customHeight="1">
      <c r="A703" s="113"/>
      <c r="B703" s="113"/>
      <c r="C703" s="113"/>
      <c r="D703" s="113"/>
      <c r="E703" s="113"/>
      <c r="F703" s="113"/>
      <c r="G703" s="113"/>
      <c r="H703" s="113"/>
      <c r="I703" s="113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  <c r="AC703" s="113"/>
      <c r="AD703" s="113"/>
      <c r="AE703" s="113"/>
    </row>
    <row r="704" ht="15.75" customHeight="1">
      <c r="A704" s="113"/>
      <c r="B704" s="113"/>
      <c r="C704" s="113"/>
      <c r="D704" s="113"/>
      <c r="E704" s="113"/>
      <c r="F704" s="113"/>
      <c r="G704" s="113"/>
      <c r="H704" s="113"/>
      <c r="I704" s="113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  <c r="AC704" s="113"/>
      <c r="AD704" s="113"/>
      <c r="AE704" s="113"/>
    </row>
    <row r="705" ht="15.75" customHeight="1">
      <c r="A705" s="113"/>
      <c r="B705" s="113"/>
      <c r="C705" s="113"/>
      <c r="D705" s="113"/>
      <c r="E705" s="113"/>
      <c r="F705" s="113"/>
      <c r="G705" s="113"/>
      <c r="H705" s="113"/>
      <c r="I705" s="113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  <c r="AC705" s="113"/>
      <c r="AD705" s="113"/>
      <c r="AE705" s="113"/>
    </row>
    <row r="706" ht="15.75" customHeight="1">
      <c r="A706" s="113"/>
      <c r="B706" s="113"/>
      <c r="C706" s="113"/>
      <c r="D706" s="113"/>
      <c r="E706" s="113"/>
      <c r="F706" s="113"/>
      <c r="G706" s="113"/>
      <c r="H706" s="113"/>
      <c r="I706" s="113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  <c r="AC706" s="113"/>
      <c r="AD706" s="113"/>
      <c r="AE706" s="113"/>
    </row>
    <row r="707" ht="15.75" customHeight="1">
      <c r="A707" s="113"/>
      <c r="B707" s="113"/>
      <c r="C707" s="113"/>
      <c r="D707" s="113"/>
      <c r="E707" s="113"/>
      <c r="F707" s="113"/>
      <c r="G707" s="113"/>
      <c r="H707" s="113"/>
      <c r="I707" s="113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  <c r="AC707" s="113"/>
      <c r="AD707" s="113"/>
      <c r="AE707" s="113"/>
    </row>
    <row r="708" ht="15.75" customHeight="1">
      <c r="A708" s="113"/>
      <c r="B708" s="113"/>
      <c r="C708" s="113"/>
      <c r="D708" s="113"/>
      <c r="E708" s="113"/>
      <c r="F708" s="113"/>
      <c r="G708" s="113"/>
      <c r="H708" s="113"/>
      <c r="I708" s="113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  <c r="AC708" s="113"/>
      <c r="AD708" s="113"/>
      <c r="AE708" s="113"/>
    </row>
    <row r="709" ht="15.75" customHeight="1">
      <c r="A709" s="113"/>
      <c r="B709" s="113"/>
      <c r="C709" s="113"/>
      <c r="D709" s="113"/>
      <c r="E709" s="113"/>
      <c r="F709" s="113"/>
      <c r="G709" s="113"/>
      <c r="H709" s="113"/>
      <c r="I709" s="113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  <c r="AC709" s="113"/>
      <c r="AD709" s="113"/>
      <c r="AE709" s="113"/>
    </row>
    <row r="710" ht="15.75" customHeight="1">
      <c r="A710" s="113"/>
      <c r="B710" s="113"/>
      <c r="C710" s="113"/>
      <c r="D710" s="113"/>
      <c r="E710" s="113"/>
      <c r="F710" s="113"/>
      <c r="G710" s="113"/>
      <c r="H710" s="113"/>
      <c r="I710" s="113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  <c r="AC710" s="113"/>
      <c r="AD710" s="113"/>
      <c r="AE710" s="113"/>
    </row>
    <row r="711" ht="15.75" customHeight="1">
      <c r="A711" s="113"/>
      <c r="B711" s="113"/>
      <c r="C711" s="113"/>
      <c r="D711" s="113"/>
      <c r="E711" s="113"/>
      <c r="F711" s="113"/>
      <c r="G711" s="113"/>
      <c r="H711" s="113"/>
      <c r="I711" s="113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  <c r="AC711" s="113"/>
      <c r="AD711" s="113"/>
      <c r="AE711" s="113"/>
    </row>
    <row r="712" ht="15.75" customHeight="1">
      <c r="A712" s="113"/>
      <c r="B712" s="113"/>
      <c r="C712" s="113"/>
      <c r="D712" s="113"/>
      <c r="E712" s="113"/>
      <c r="F712" s="113"/>
      <c r="G712" s="113"/>
      <c r="H712" s="113"/>
      <c r="I712" s="113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  <c r="AC712" s="113"/>
      <c r="AD712" s="113"/>
      <c r="AE712" s="113"/>
    </row>
    <row r="713" ht="15.75" customHeight="1">
      <c r="A713" s="113"/>
      <c r="B713" s="113"/>
      <c r="C713" s="113"/>
      <c r="D713" s="113"/>
      <c r="E713" s="113"/>
      <c r="F713" s="113"/>
      <c r="G713" s="113"/>
      <c r="H713" s="113"/>
      <c r="I713" s="113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  <c r="AC713" s="113"/>
      <c r="AD713" s="113"/>
      <c r="AE713" s="113"/>
    </row>
    <row r="714" ht="15.75" customHeight="1">
      <c r="A714" s="113"/>
      <c r="B714" s="113"/>
      <c r="C714" s="113"/>
      <c r="D714" s="113"/>
      <c r="E714" s="113"/>
      <c r="F714" s="113"/>
      <c r="G714" s="113"/>
      <c r="H714" s="113"/>
      <c r="I714" s="113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  <c r="AC714" s="113"/>
      <c r="AD714" s="113"/>
      <c r="AE714" s="113"/>
    </row>
    <row r="715" ht="15.75" customHeight="1">
      <c r="A715" s="113"/>
      <c r="B715" s="113"/>
      <c r="C715" s="113"/>
      <c r="D715" s="113"/>
      <c r="E715" s="113"/>
      <c r="F715" s="113"/>
      <c r="G715" s="113"/>
      <c r="H715" s="113"/>
      <c r="I715" s="113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  <c r="AC715" s="113"/>
      <c r="AD715" s="113"/>
      <c r="AE715" s="113"/>
    </row>
    <row r="716" ht="15.75" customHeight="1">
      <c r="A716" s="113"/>
      <c r="B716" s="113"/>
      <c r="C716" s="113"/>
      <c r="D716" s="113"/>
      <c r="E716" s="113"/>
      <c r="F716" s="113"/>
      <c r="G716" s="113"/>
      <c r="H716" s="113"/>
      <c r="I716" s="113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  <c r="AC716" s="113"/>
      <c r="AD716" s="113"/>
      <c r="AE716" s="113"/>
    </row>
    <row r="717" ht="15.75" customHeight="1">
      <c r="A717" s="113"/>
      <c r="B717" s="113"/>
      <c r="C717" s="113"/>
      <c r="D717" s="113"/>
      <c r="E717" s="113"/>
      <c r="F717" s="113"/>
      <c r="G717" s="113"/>
      <c r="H717" s="113"/>
      <c r="I717" s="113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  <c r="AC717" s="113"/>
      <c r="AD717" s="113"/>
      <c r="AE717" s="113"/>
    </row>
    <row r="718" ht="15.75" customHeight="1">
      <c r="A718" s="113"/>
      <c r="B718" s="113"/>
      <c r="C718" s="113"/>
      <c r="D718" s="113"/>
      <c r="E718" s="113"/>
      <c r="F718" s="113"/>
      <c r="G718" s="113"/>
      <c r="H718" s="113"/>
      <c r="I718" s="113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  <c r="AC718" s="113"/>
      <c r="AD718" s="113"/>
      <c r="AE718" s="113"/>
    </row>
    <row r="719" ht="15.75" customHeight="1">
      <c r="A719" s="113"/>
      <c r="B719" s="113"/>
      <c r="C719" s="113"/>
      <c r="D719" s="113"/>
      <c r="E719" s="113"/>
      <c r="F719" s="113"/>
      <c r="G719" s="113"/>
      <c r="H719" s="113"/>
      <c r="I719" s="113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  <c r="AC719" s="113"/>
      <c r="AD719" s="113"/>
      <c r="AE719" s="113"/>
    </row>
    <row r="720" ht="15.75" customHeight="1">
      <c r="A720" s="113"/>
      <c r="B720" s="113"/>
      <c r="C720" s="113"/>
      <c r="D720" s="113"/>
      <c r="E720" s="113"/>
      <c r="F720" s="113"/>
      <c r="G720" s="113"/>
      <c r="H720" s="113"/>
      <c r="I720" s="113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  <c r="AC720" s="113"/>
      <c r="AD720" s="113"/>
      <c r="AE720" s="113"/>
    </row>
    <row r="721" ht="15.75" customHeight="1">
      <c r="A721" s="113"/>
      <c r="B721" s="113"/>
      <c r="C721" s="113"/>
      <c r="D721" s="113"/>
      <c r="E721" s="113"/>
      <c r="F721" s="113"/>
      <c r="G721" s="113"/>
      <c r="H721" s="113"/>
      <c r="I721" s="113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  <c r="AC721" s="113"/>
      <c r="AD721" s="113"/>
      <c r="AE721" s="113"/>
    </row>
    <row r="722" ht="15.75" customHeight="1">
      <c r="A722" s="113"/>
      <c r="B722" s="113"/>
      <c r="C722" s="113"/>
      <c r="D722" s="113"/>
      <c r="E722" s="113"/>
      <c r="F722" s="113"/>
      <c r="G722" s="113"/>
      <c r="H722" s="113"/>
      <c r="I722" s="113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  <c r="AC722" s="113"/>
      <c r="AD722" s="113"/>
      <c r="AE722" s="113"/>
    </row>
    <row r="723" ht="15.75" customHeight="1">
      <c r="A723" s="113"/>
      <c r="B723" s="113"/>
      <c r="C723" s="113"/>
      <c r="D723" s="113"/>
      <c r="E723" s="113"/>
      <c r="F723" s="113"/>
      <c r="G723" s="113"/>
      <c r="H723" s="113"/>
      <c r="I723" s="113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  <c r="AC723" s="113"/>
      <c r="AD723" s="113"/>
      <c r="AE723" s="113"/>
    </row>
    <row r="724" ht="15.75" customHeight="1">
      <c r="A724" s="113"/>
      <c r="B724" s="113"/>
      <c r="C724" s="113"/>
      <c r="D724" s="113"/>
      <c r="E724" s="113"/>
      <c r="F724" s="113"/>
      <c r="G724" s="113"/>
      <c r="H724" s="113"/>
      <c r="I724" s="113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  <c r="AC724" s="113"/>
      <c r="AD724" s="113"/>
      <c r="AE724" s="113"/>
    </row>
    <row r="725" ht="15.75" customHeight="1">
      <c r="A725" s="113"/>
      <c r="B725" s="113"/>
      <c r="C725" s="113"/>
      <c r="D725" s="113"/>
      <c r="E725" s="113"/>
      <c r="F725" s="113"/>
      <c r="G725" s="113"/>
      <c r="H725" s="113"/>
      <c r="I725" s="113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  <c r="AC725" s="113"/>
      <c r="AD725" s="113"/>
      <c r="AE725" s="113"/>
    </row>
    <row r="726" ht="15.75" customHeight="1">
      <c r="A726" s="113"/>
      <c r="B726" s="113"/>
      <c r="C726" s="113"/>
      <c r="D726" s="113"/>
      <c r="E726" s="113"/>
      <c r="F726" s="113"/>
      <c r="G726" s="113"/>
      <c r="H726" s="113"/>
      <c r="I726" s="113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  <c r="AC726" s="113"/>
      <c r="AD726" s="113"/>
      <c r="AE726" s="113"/>
    </row>
    <row r="727" ht="15.75" customHeight="1">
      <c r="A727" s="113"/>
      <c r="B727" s="113"/>
      <c r="C727" s="113"/>
      <c r="D727" s="113"/>
      <c r="E727" s="113"/>
      <c r="F727" s="113"/>
      <c r="G727" s="113"/>
      <c r="H727" s="113"/>
      <c r="I727" s="113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  <c r="AC727" s="113"/>
      <c r="AD727" s="113"/>
      <c r="AE727" s="113"/>
    </row>
    <row r="728" ht="15.75" customHeight="1">
      <c r="A728" s="113"/>
      <c r="B728" s="113"/>
      <c r="C728" s="113"/>
      <c r="D728" s="113"/>
      <c r="E728" s="113"/>
      <c r="F728" s="113"/>
      <c r="G728" s="113"/>
      <c r="H728" s="113"/>
      <c r="I728" s="113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  <c r="AC728" s="113"/>
      <c r="AD728" s="113"/>
      <c r="AE728" s="113"/>
    </row>
    <row r="729" ht="15.75" customHeight="1">
      <c r="A729" s="113"/>
      <c r="B729" s="113"/>
      <c r="C729" s="113"/>
      <c r="D729" s="113"/>
      <c r="E729" s="113"/>
      <c r="F729" s="113"/>
      <c r="G729" s="113"/>
      <c r="H729" s="113"/>
      <c r="I729" s="113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  <c r="AC729" s="113"/>
      <c r="AD729" s="113"/>
      <c r="AE729" s="113"/>
    </row>
    <row r="730" ht="15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  <c r="AC730" s="113"/>
      <c r="AD730" s="113"/>
      <c r="AE730" s="113"/>
    </row>
    <row r="731" ht="15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  <c r="AC731" s="113"/>
      <c r="AD731" s="113"/>
      <c r="AE731" s="113"/>
    </row>
    <row r="732" ht="15.75" customHeight="1">
      <c r="A732" s="113"/>
      <c r="B732" s="113"/>
      <c r="C732" s="113"/>
      <c r="D732" s="113"/>
      <c r="E732" s="113"/>
      <c r="F732" s="113"/>
      <c r="G732" s="113"/>
      <c r="H732" s="113"/>
      <c r="I732" s="113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  <c r="AC732" s="113"/>
      <c r="AD732" s="113"/>
      <c r="AE732" s="113"/>
    </row>
    <row r="733" ht="15.75" customHeight="1">
      <c r="A733" s="113"/>
      <c r="B733" s="113"/>
      <c r="C733" s="113"/>
      <c r="D733" s="113"/>
      <c r="E733" s="113"/>
      <c r="F733" s="113"/>
      <c r="G733" s="113"/>
      <c r="H733" s="113"/>
      <c r="I733" s="113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  <c r="AC733" s="113"/>
      <c r="AD733" s="113"/>
      <c r="AE733" s="113"/>
    </row>
    <row r="734" ht="15.75" customHeight="1">
      <c r="A734" s="113"/>
      <c r="B734" s="113"/>
      <c r="C734" s="113"/>
      <c r="D734" s="113"/>
      <c r="E734" s="113"/>
      <c r="F734" s="113"/>
      <c r="G734" s="113"/>
      <c r="H734" s="113"/>
      <c r="I734" s="113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  <c r="AC734" s="113"/>
      <c r="AD734" s="113"/>
      <c r="AE734" s="113"/>
    </row>
    <row r="735" ht="15.75" customHeight="1">
      <c r="A735" s="113"/>
      <c r="B735" s="113"/>
      <c r="C735" s="113"/>
      <c r="D735" s="113"/>
      <c r="E735" s="113"/>
      <c r="F735" s="113"/>
      <c r="G735" s="113"/>
      <c r="H735" s="113"/>
      <c r="I735" s="113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  <c r="AC735" s="113"/>
      <c r="AD735" s="113"/>
      <c r="AE735" s="113"/>
    </row>
    <row r="736" ht="15.75" customHeight="1">
      <c r="A736" s="113"/>
      <c r="B736" s="113"/>
      <c r="C736" s="113"/>
      <c r="D736" s="113"/>
      <c r="E736" s="113"/>
      <c r="F736" s="113"/>
      <c r="G736" s="113"/>
      <c r="H736" s="113"/>
      <c r="I736" s="113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  <c r="AC736" s="113"/>
      <c r="AD736" s="113"/>
      <c r="AE736" s="113"/>
    </row>
    <row r="737" ht="15.75" customHeight="1">
      <c r="A737" s="113"/>
      <c r="B737" s="113"/>
      <c r="C737" s="113"/>
      <c r="D737" s="113"/>
      <c r="E737" s="113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  <c r="AC737" s="113"/>
      <c r="AD737" s="113"/>
      <c r="AE737" s="113"/>
    </row>
    <row r="738" ht="15.75" customHeight="1">
      <c r="A738" s="113"/>
      <c r="B738" s="113"/>
      <c r="C738" s="113"/>
      <c r="D738" s="113"/>
      <c r="E738" s="113"/>
      <c r="F738" s="113"/>
      <c r="G738" s="113"/>
      <c r="H738" s="113"/>
      <c r="I738" s="113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  <c r="AC738" s="113"/>
      <c r="AD738" s="113"/>
      <c r="AE738" s="113"/>
    </row>
    <row r="739" ht="15.75" customHeight="1">
      <c r="A739" s="113"/>
      <c r="B739" s="113"/>
      <c r="C739" s="113"/>
      <c r="D739" s="113"/>
      <c r="E739" s="113"/>
      <c r="F739" s="113"/>
      <c r="G739" s="113"/>
      <c r="H739" s="113"/>
      <c r="I739" s="113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  <c r="AC739" s="113"/>
      <c r="AD739" s="113"/>
      <c r="AE739" s="113"/>
    </row>
    <row r="740" ht="15.75" customHeight="1">
      <c r="A740" s="113"/>
      <c r="B740" s="113"/>
      <c r="C740" s="113"/>
      <c r="D740" s="113"/>
      <c r="E740" s="113"/>
      <c r="F740" s="113"/>
      <c r="G740" s="113"/>
      <c r="H740" s="113"/>
      <c r="I740" s="113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  <c r="AC740" s="113"/>
      <c r="AD740" s="113"/>
      <c r="AE740" s="113"/>
    </row>
    <row r="741" ht="15.75" customHeight="1">
      <c r="A741" s="113"/>
      <c r="B741" s="113"/>
      <c r="C741" s="113"/>
      <c r="D741" s="113"/>
      <c r="E741" s="113"/>
      <c r="F741" s="113"/>
      <c r="G741" s="113"/>
      <c r="H741" s="113"/>
      <c r="I741" s="113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  <c r="AC741" s="113"/>
      <c r="AD741" s="113"/>
      <c r="AE741" s="113"/>
    </row>
    <row r="742" ht="15.75" customHeight="1">
      <c r="A742" s="113"/>
      <c r="B742" s="113"/>
      <c r="C742" s="113"/>
      <c r="D742" s="113"/>
      <c r="E742" s="113"/>
      <c r="F742" s="113"/>
      <c r="G742" s="113"/>
      <c r="H742" s="113"/>
      <c r="I742" s="113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  <c r="AC742" s="113"/>
      <c r="AD742" s="113"/>
      <c r="AE742" s="113"/>
    </row>
    <row r="743" ht="15.75" customHeight="1">
      <c r="A743" s="113"/>
      <c r="B743" s="113"/>
      <c r="C743" s="113"/>
      <c r="D743" s="113"/>
      <c r="E743" s="113"/>
      <c r="F743" s="113"/>
      <c r="G743" s="113"/>
      <c r="H743" s="113"/>
      <c r="I743" s="113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  <c r="AC743" s="113"/>
      <c r="AD743" s="113"/>
      <c r="AE743" s="113"/>
    </row>
    <row r="744" ht="15.75" customHeight="1">
      <c r="A744" s="113"/>
      <c r="B744" s="113"/>
      <c r="C744" s="113"/>
      <c r="D744" s="113"/>
      <c r="E744" s="113"/>
      <c r="F744" s="113"/>
      <c r="G744" s="113"/>
      <c r="H744" s="113"/>
      <c r="I744" s="113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  <c r="AC744" s="113"/>
      <c r="AD744" s="113"/>
      <c r="AE744" s="113"/>
    </row>
    <row r="745" ht="15.75" customHeight="1">
      <c r="A745" s="113"/>
      <c r="B745" s="113"/>
      <c r="C745" s="113"/>
      <c r="D745" s="113"/>
      <c r="E745" s="113"/>
      <c r="F745" s="113"/>
      <c r="G745" s="113"/>
      <c r="H745" s="113"/>
      <c r="I745" s="113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  <c r="AC745" s="113"/>
      <c r="AD745" s="113"/>
      <c r="AE745" s="113"/>
    </row>
    <row r="746" ht="15.75" customHeight="1">
      <c r="A746" s="113"/>
      <c r="B746" s="113"/>
      <c r="C746" s="113"/>
      <c r="D746" s="113"/>
      <c r="E746" s="113"/>
      <c r="F746" s="113"/>
      <c r="G746" s="113"/>
      <c r="H746" s="113"/>
      <c r="I746" s="113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  <c r="AC746" s="113"/>
      <c r="AD746" s="113"/>
      <c r="AE746" s="113"/>
    </row>
    <row r="747" ht="15.75" customHeight="1">
      <c r="A747" s="113"/>
      <c r="B747" s="113"/>
      <c r="C747" s="113"/>
      <c r="D747" s="113"/>
      <c r="E747" s="113"/>
      <c r="F747" s="113"/>
      <c r="G747" s="113"/>
      <c r="H747" s="113"/>
      <c r="I747" s="113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  <c r="AC747" s="113"/>
      <c r="AD747" s="113"/>
      <c r="AE747" s="113"/>
    </row>
    <row r="748" ht="15.75" customHeight="1">
      <c r="A748" s="113"/>
      <c r="B748" s="113"/>
      <c r="C748" s="113"/>
      <c r="D748" s="113"/>
      <c r="E748" s="113"/>
      <c r="F748" s="113"/>
      <c r="G748" s="113"/>
      <c r="H748" s="113"/>
      <c r="I748" s="113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  <c r="AC748" s="113"/>
      <c r="AD748" s="113"/>
      <c r="AE748" s="113"/>
    </row>
    <row r="749" ht="15.75" customHeight="1">
      <c r="A749" s="113"/>
      <c r="B749" s="113"/>
      <c r="C749" s="113"/>
      <c r="D749" s="113"/>
      <c r="E749" s="113"/>
      <c r="F749" s="113"/>
      <c r="G749" s="113"/>
      <c r="H749" s="113"/>
      <c r="I749" s="113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  <c r="AC749" s="113"/>
      <c r="AD749" s="113"/>
      <c r="AE749" s="113"/>
    </row>
    <row r="750" ht="15.75" customHeight="1">
      <c r="A750" s="113"/>
      <c r="B750" s="113"/>
      <c r="C750" s="113"/>
      <c r="D750" s="113"/>
      <c r="E750" s="113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  <c r="AC750" s="113"/>
      <c r="AD750" s="113"/>
      <c r="AE750" s="113"/>
    </row>
    <row r="751" ht="15.75" customHeight="1">
      <c r="A751" s="113"/>
      <c r="B751" s="113"/>
      <c r="C751" s="113"/>
      <c r="D751" s="113"/>
      <c r="E751" s="113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  <c r="AC751" s="113"/>
      <c r="AD751" s="113"/>
      <c r="AE751" s="113"/>
    </row>
    <row r="752" ht="15.75" customHeight="1">
      <c r="A752" s="113"/>
      <c r="B752" s="113"/>
      <c r="C752" s="113"/>
      <c r="D752" s="113"/>
      <c r="E752" s="113"/>
      <c r="F752" s="113"/>
      <c r="G752" s="113"/>
      <c r="H752" s="113"/>
      <c r="I752" s="113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  <c r="AC752" s="113"/>
      <c r="AD752" s="113"/>
      <c r="AE752" s="113"/>
    </row>
    <row r="753" ht="15.75" customHeight="1">
      <c r="A753" s="113"/>
      <c r="B753" s="113"/>
      <c r="C753" s="113"/>
      <c r="D753" s="113"/>
      <c r="E753" s="113"/>
      <c r="F753" s="113"/>
      <c r="G753" s="113"/>
      <c r="H753" s="113"/>
      <c r="I753" s="113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  <c r="AC753" s="113"/>
      <c r="AD753" s="113"/>
      <c r="AE753" s="113"/>
    </row>
    <row r="754" ht="15.75" customHeight="1">
      <c r="A754" s="113"/>
      <c r="B754" s="113"/>
      <c r="C754" s="113"/>
      <c r="D754" s="113"/>
      <c r="E754" s="113"/>
      <c r="F754" s="113"/>
      <c r="G754" s="113"/>
      <c r="H754" s="113"/>
      <c r="I754" s="113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  <c r="AC754" s="113"/>
      <c r="AD754" s="113"/>
      <c r="AE754" s="113"/>
    </row>
    <row r="755" ht="15.75" customHeight="1">
      <c r="A755" s="113"/>
      <c r="B755" s="113"/>
      <c r="C755" s="113"/>
      <c r="D755" s="113"/>
      <c r="E755" s="113"/>
      <c r="F755" s="113"/>
      <c r="G755" s="113"/>
      <c r="H755" s="113"/>
      <c r="I755" s="113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  <c r="AC755" s="113"/>
      <c r="AD755" s="113"/>
      <c r="AE755" s="113"/>
    </row>
    <row r="756" ht="15.75" customHeight="1">
      <c r="A756" s="113"/>
      <c r="B756" s="113"/>
      <c r="C756" s="113"/>
      <c r="D756" s="113"/>
      <c r="E756" s="113"/>
      <c r="F756" s="113"/>
      <c r="G756" s="113"/>
      <c r="H756" s="113"/>
      <c r="I756" s="113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  <c r="AC756" s="113"/>
      <c r="AD756" s="113"/>
      <c r="AE756" s="113"/>
    </row>
    <row r="757" ht="15.75" customHeight="1">
      <c r="A757" s="113"/>
      <c r="B757" s="113"/>
      <c r="C757" s="113"/>
      <c r="D757" s="113"/>
      <c r="E757" s="113"/>
      <c r="F757" s="113"/>
      <c r="G757" s="113"/>
      <c r="H757" s="113"/>
      <c r="I757" s="113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  <c r="AC757" s="113"/>
      <c r="AD757" s="113"/>
      <c r="AE757" s="113"/>
    </row>
    <row r="758" ht="15.75" customHeight="1">
      <c r="A758" s="113"/>
      <c r="B758" s="113"/>
      <c r="C758" s="113"/>
      <c r="D758" s="113"/>
      <c r="E758" s="113"/>
      <c r="F758" s="113"/>
      <c r="G758" s="113"/>
      <c r="H758" s="113"/>
      <c r="I758" s="113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  <c r="AC758" s="113"/>
      <c r="AD758" s="113"/>
      <c r="AE758" s="113"/>
    </row>
    <row r="759" ht="15.75" customHeight="1">
      <c r="A759" s="113"/>
      <c r="B759" s="113"/>
      <c r="C759" s="113"/>
      <c r="D759" s="113"/>
      <c r="E759" s="113"/>
      <c r="F759" s="113"/>
      <c r="G759" s="113"/>
      <c r="H759" s="113"/>
      <c r="I759" s="113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  <c r="AC759" s="113"/>
      <c r="AD759" s="113"/>
      <c r="AE759" s="113"/>
    </row>
    <row r="760" ht="15.75" customHeight="1">
      <c r="A760" s="113"/>
      <c r="B760" s="113"/>
      <c r="C760" s="113"/>
      <c r="D760" s="113"/>
      <c r="E760" s="113"/>
      <c r="F760" s="113"/>
      <c r="G760" s="113"/>
      <c r="H760" s="113"/>
      <c r="I760" s="113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  <c r="AC760" s="113"/>
      <c r="AD760" s="113"/>
      <c r="AE760" s="113"/>
    </row>
    <row r="761" ht="15.75" customHeight="1">
      <c r="A761" s="113"/>
      <c r="B761" s="113"/>
      <c r="C761" s="113"/>
      <c r="D761" s="113"/>
      <c r="E761" s="113"/>
      <c r="F761" s="113"/>
      <c r="G761" s="113"/>
      <c r="H761" s="113"/>
      <c r="I761" s="113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  <c r="AC761" s="113"/>
      <c r="AD761" s="113"/>
      <c r="AE761" s="113"/>
    </row>
    <row r="762" ht="15.75" customHeight="1">
      <c r="A762" s="113"/>
      <c r="B762" s="113"/>
      <c r="C762" s="113"/>
      <c r="D762" s="113"/>
      <c r="E762" s="113"/>
      <c r="F762" s="113"/>
      <c r="G762" s="113"/>
      <c r="H762" s="113"/>
      <c r="I762" s="113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  <c r="AC762" s="113"/>
      <c r="AD762" s="113"/>
      <c r="AE762" s="113"/>
    </row>
    <row r="763" ht="15.75" customHeight="1">
      <c r="A763" s="113"/>
      <c r="B763" s="113"/>
      <c r="C763" s="113"/>
      <c r="D763" s="113"/>
      <c r="E763" s="113"/>
      <c r="F763" s="113"/>
      <c r="G763" s="113"/>
      <c r="H763" s="113"/>
      <c r="I763" s="113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  <c r="AC763" s="113"/>
      <c r="AD763" s="113"/>
      <c r="AE763" s="113"/>
    </row>
    <row r="764" ht="15.75" customHeight="1">
      <c r="A764" s="113"/>
      <c r="B764" s="113"/>
      <c r="C764" s="113"/>
      <c r="D764" s="113"/>
      <c r="E764" s="113"/>
      <c r="F764" s="113"/>
      <c r="G764" s="113"/>
      <c r="H764" s="113"/>
      <c r="I764" s="113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  <c r="AC764" s="113"/>
      <c r="AD764" s="113"/>
      <c r="AE764" s="113"/>
    </row>
    <row r="765" ht="15.75" customHeight="1">
      <c r="A765" s="113"/>
      <c r="B765" s="113"/>
      <c r="C765" s="113"/>
      <c r="D765" s="113"/>
      <c r="E765" s="113"/>
      <c r="F765" s="113"/>
      <c r="G765" s="113"/>
      <c r="H765" s="113"/>
      <c r="I765" s="113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  <c r="AC765" s="113"/>
      <c r="AD765" s="113"/>
      <c r="AE765" s="113"/>
    </row>
    <row r="766" ht="15.75" customHeight="1">
      <c r="A766" s="113"/>
      <c r="B766" s="113"/>
      <c r="C766" s="113"/>
      <c r="D766" s="113"/>
      <c r="E766" s="113"/>
      <c r="F766" s="113"/>
      <c r="G766" s="113"/>
      <c r="H766" s="113"/>
      <c r="I766" s="113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  <c r="AC766" s="113"/>
      <c r="AD766" s="113"/>
      <c r="AE766" s="113"/>
    </row>
    <row r="767" ht="15.75" customHeight="1">
      <c r="A767" s="113"/>
      <c r="B767" s="113"/>
      <c r="C767" s="113"/>
      <c r="D767" s="113"/>
      <c r="E767" s="113"/>
      <c r="F767" s="113"/>
      <c r="G767" s="113"/>
      <c r="H767" s="113"/>
      <c r="I767" s="113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  <c r="AC767" s="113"/>
      <c r="AD767" s="113"/>
      <c r="AE767" s="113"/>
    </row>
    <row r="768" ht="15.75" customHeight="1">
      <c r="A768" s="113"/>
      <c r="B768" s="113"/>
      <c r="C768" s="113"/>
      <c r="D768" s="113"/>
      <c r="E768" s="113"/>
      <c r="F768" s="113"/>
      <c r="G768" s="113"/>
      <c r="H768" s="113"/>
      <c r="I768" s="113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  <c r="AC768" s="113"/>
      <c r="AD768" s="113"/>
      <c r="AE768" s="113"/>
    </row>
    <row r="769" ht="15.75" customHeight="1">
      <c r="A769" s="113"/>
      <c r="B769" s="113"/>
      <c r="C769" s="113"/>
      <c r="D769" s="113"/>
      <c r="E769" s="113"/>
      <c r="F769" s="113"/>
      <c r="G769" s="113"/>
      <c r="H769" s="113"/>
      <c r="I769" s="113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  <c r="AC769" s="113"/>
      <c r="AD769" s="113"/>
      <c r="AE769" s="113"/>
    </row>
    <row r="770" ht="15.75" customHeight="1">
      <c r="A770" s="113"/>
      <c r="B770" s="113"/>
      <c r="C770" s="113"/>
      <c r="D770" s="113"/>
      <c r="E770" s="113"/>
      <c r="F770" s="113"/>
      <c r="G770" s="113"/>
      <c r="H770" s="113"/>
      <c r="I770" s="113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  <c r="AC770" s="113"/>
      <c r="AD770" s="113"/>
      <c r="AE770" s="113"/>
    </row>
    <row r="771" ht="15.75" customHeight="1">
      <c r="A771" s="113"/>
      <c r="B771" s="113"/>
      <c r="C771" s="113"/>
      <c r="D771" s="113"/>
      <c r="E771" s="113"/>
      <c r="F771" s="113"/>
      <c r="G771" s="113"/>
      <c r="H771" s="113"/>
      <c r="I771" s="113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  <c r="AC771" s="113"/>
      <c r="AD771" s="113"/>
      <c r="AE771" s="113"/>
    </row>
    <row r="772" ht="15.75" customHeight="1">
      <c r="A772" s="113"/>
      <c r="B772" s="113"/>
      <c r="C772" s="113"/>
      <c r="D772" s="113"/>
      <c r="E772" s="113"/>
      <c r="F772" s="113"/>
      <c r="G772" s="113"/>
      <c r="H772" s="113"/>
      <c r="I772" s="113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  <c r="AC772" s="113"/>
      <c r="AD772" s="113"/>
      <c r="AE772" s="113"/>
    </row>
    <row r="773" ht="15.75" customHeight="1">
      <c r="A773" s="113"/>
      <c r="B773" s="113"/>
      <c r="C773" s="113"/>
      <c r="D773" s="113"/>
      <c r="E773" s="113"/>
      <c r="F773" s="113"/>
      <c r="G773" s="113"/>
      <c r="H773" s="113"/>
      <c r="I773" s="113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  <c r="AC773" s="113"/>
      <c r="AD773" s="113"/>
      <c r="AE773" s="113"/>
    </row>
    <row r="774" ht="15.75" customHeight="1">
      <c r="A774" s="113"/>
      <c r="B774" s="113"/>
      <c r="C774" s="113"/>
      <c r="D774" s="113"/>
      <c r="E774" s="113"/>
      <c r="F774" s="113"/>
      <c r="G774" s="113"/>
      <c r="H774" s="113"/>
      <c r="I774" s="113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  <c r="AC774" s="113"/>
      <c r="AD774" s="113"/>
      <c r="AE774" s="113"/>
    </row>
    <row r="775" ht="15.75" customHeight="1">
      <c r="A775" s="113"/>
      <c r="B775" s="113"/>
      <c r="C775" s="113"/>
      <c r="D775" s="113"/>
      <c r="E775" s="113"/>
      <c r="F775" s="113"/>
      <c r="G775" s="113"/>
      <c r="H775" s="113"/>
      <c r="I775" s="113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  <c r="AC775" s="113"/>
      <c r="AD775" s="113"/>
      <c r="AE775" s="113"/>
    </row>
    <row r="776" ht="15.75" customHeight="1">
      <c r="A776" s="113"/>
      <c r="B776" s="113"/>
      <c r="C776" s="113"/>
      <c r="D776" s="113"/>
      <c r="E776" s="113"/>
      <c r="F776" s="113"/>
      <c r="G776" s="113"/>
      <c r="H776" s="113"/>
      <c r="I776" s="113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  <c r="AC776" s="113"/>
      <c r="AD776" s="113"/>
      <c r="AE776" s="113"/>
    </row>
    <row r="777" ht="15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  <c r="AC777" s="113"/>
      <c r="AD777" s="113"/>
      <c r="AE777" s="113"/>
    </row>
    <row r="778" ht="15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  <c r="AC778" s="113"/>
      <c r="AD778" s="113"/>
      <c r="AE778" s="113"/>
    </row>
    <row r="779" ht="15.75" customHeight="1">
      <c r="A779" s="113"/>
      <c r="B779" s="113"/>
      <c r="C779" s="113"/>
      <c r="D779" s="113"/>
      <c r="E779" s="113"/>
      <c r="F779" s="113"/>
      <c r="G779" s="113"/>
      <c r="H779" s="113"/>
      <c r="I779" s="113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  <c r="AC779" s="113"/>
      <c r="AD779" s="113"/>
      <c r="AE779" s="113"/>
    </row>
    <row r="780" ht="15.75" customHeight="1">
      <c r="A780" s="113"/>
      <c r="B780" s="113"/>
      <c r="C780" s="113"/>
      <c r="D780" s="113"/>
      <c r="E780" s="113"/>
      <c r="F780" s="113"/>
      <c r="G780" s="113"/>
      <c r="H780" s="113"/>
      <c r="I780" s="113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  <c r="AC780" s="113"/>
      <c r="AD780" s="113"/>
      <c r="AE780" s="113"/>
    </row>
    <row r="781" ht="15.75" customHeight="1">
      <c r="A781" s="113"/>
      <c r="B781" s="113"/>
      <c r="C781" s="113"/>
      <c r="D781" s="113"/>
      <c r="E781" s="113"/>
      <c r="F781" s="113"/>
      <c r="G781" s="113"/>
      <c r="H781" s="113"/>
      <c r="I781" s="113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  <c r="AC781" s="113"/>
      <c r="AD781" s="113"/>
      <c r="AE781" s="113"/>
    </row>
    <row r="782" ht="15.75" customHeight="1">
      <c r="A782" s="113"/>
      <c r="B782" s="113"/>
      <c r="C782" s="113"/>
      <c r="D782" s="113"/>
      <c r="E782" s="113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  <c r="AC782" s="113"/>
      <c r="AD782" s="113"/>
      <c r="AE782" s="113"/>
    </row>
    <row r="783" ht="15.75" customHeight="1">
      <c r="A783" s="113"/>
      <c r="B783" s="113"/>
      <c r="C783" s="113"/>
      <c r="D783" s="113"/>
      <c r="E783" s="113"/>
      <c r="F783" s="113"/>
      <c r="G783" s="113"/>
      <c r="H783" s="113"/>
      <c r="I783" s="113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  <c r="AC783" s="113"/>
      <c r="AD783" s="113"/>
      <c r="AE783" s="113"/>
    </row>
    <row r="784" ht="15.75" customHeight="1">
      <c r="A784" s="113"/>
      <c r="B784" s="113"/>
      <c r="C784" s="113"/>
      <c r="D784" s="113"/>
      <c r="E784" s="113"/>
      <c r="F784" s="113"/>
      <c r="G784" s="113"/>
      <c r="H784" s="113"/>
      <c r="I784" s="113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  <c r="AC784" s="113"/>
      <c r="AD784" s="113"/>
      <c r="AE784" s="113"/>
    </row>
    <row r="785" ht="15.75" customHeight="1">
      <c r="A785" s="113"/>
      <c r="B785" s="113"/>
      <c r="C785" s="113"/>
      <c r="D785" s="113"/>
      <c r="E785" s="11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  <c r="AC785" s="113"/>
      <c r="AD785" s="113"/>
      <c r="AE785" s="113"/>
    </row>
    <row r="786" ht="15.75" customHeight="1">
      <c r="A786" s="113"/>
      <c r="B786" s="113"/>
      <c r="C786" s="113"/>
      <c r="D786" s="113"/>
      <c r="E786" s="11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  <c r="AC786" s="113"/>
      <c r="AD786" s="113"/>
      <c r="AE786" s="113"/>
    </row>
    <row r="787" ht="15.75" customHeight="1">
      <c r="A787" s="113"/>
      <c r="B787" s="113"/>
      <c r="C787" s="113"/>
      <c r="D787" s="113"/>
      <c r="E787" s="11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  <c r="AC787" s="113"/>
      <c r="AD787" s="113"/>
      <c r="AE787" s="113"/>
    </row>
    <row r="788" ht="15.75" customHeight="1">
      <c r="A788" s="113"/>
      <c r="B788" s="113"/>
      <c r="C788" s="113"/>
      <c r="D788" s="113"/>
      <c r="E788" s="11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  <c r="AC788" s="113"/>
      <c r="AD788" s="113"/>
      <c r="AE788" s="113"/>
    </row>
    <row r="789" ht="15.75" customHeight="1">
      <c r="A789" s="113"/>
      <c r="B789" s="113"/>
      <c r="C789" s="113"/>
      <c r="D789" s="113"/>
      <c r="E789" s="113"/>
      <c r="F789" s="113"/>
      <c r="G789" s="113"/>
      <c r="H789" s="113"/>
      <c r="I789" s="113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  <c r="AC789" s="113"/>
      <c r="AD789" s="113"/>
      <c r="AE789" s="113"/>
    </row>
    <row r="790" ht="15.75" customHeight="1">
      <c r="A790" s="113"/>
      <c r="B790" s="113"/>
      <c r="C790" s="113"/>
      <c r="D790" s="113"/>
      <c r="E790" s="113"/>
      <c r="F790" s="113"/>
      <c r="G790" s="113"/>
      <c r="H790" s="113"/>
      <c r="I790" s="113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  <c r="AC790" s="113"/>
      <c r="AD790" s="113"/>
      <c r="AE790" s="113"/>
    </row>
    <row r="791" ht="15.75" customHeight="1">
      <c r="A791" s="113"/>
      <c r="B791" s="113"/>
      <c r="C791" s="113"/>
      <c r="D791" s="113"/>
      <c r="E791" s="113"/>
      <c r="F791" s="113"/>
      <c r="G791" s="113"/>
      <c r="H791" s="113"/>
      <c r="I791" s="113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  <c r="AC791" s="113"/>
      <c r="AD791" s="113"/>
      <c r="AE791" s="113"/>
    </row>
    <row r="792" ht="15.75" customHeight="1">
      <c r="A792" s="113"/>
      <c r="B792" s="113"/>
      <c r="C792" s="113"/>
      <c r="D792" s="113"/>
      <c r="E792" s="113"/>
      <c r="F792" s="113"/>
      <c r="G792" s="113"/>
      <c r="H792" s="113"/>
      <c r="I792" s="113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  <c r="AC792" s="113"/>
      <c r="AD792" s="113"/>
      <c r="AE792" s="113"/>
    </row>
    <row r="793" ht="15.75" customHeight="1">
      <c r="A793" s="113"/>
      <c r="B793" s="113"/>
      <c r="C793" s="113"/>
      <c r="D793" s="113"/>
      <c r="E793" s="113"/>
      <c r="F793" s="113"/>
      <c r="G793" s="113"/>
      <c r="H793" s="113"/>
      <c r="I793" s="113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  <c r="AC793" s="113"/>
      <c r="AD793" s="113"/>
      <c r="AE793" s="113"/>
    </row>
    <row r="794" ht="15.75" customHeight="1">
      <c r="A794" s="113"/>
      <c r="B794" s="113"/>
      <c r="C794" s="113"/>
      <c r="D794" s="113"/>
      <c r="E794" s="113"/>
      <c r="F794" s="113"/>
      <c r="G794" s="113"/>
      <c r="H794" s="113"/>
      <c r="I794" s="113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  <c r="AC794" s="113"/>
      <c r="AD794" s="113"/>
      <c r="AE794" s="113"/>
    </row>
    <row r="795" ht="15.75" customHeight="1">
      <c r="A795" s="113"/>
      <c r="B795" s="113"/>
      <c r="C795" s="113"/>
      <c r="D795" s="113"/>
      <c r="E795" s="113"/>
      <c r="F795" s="113"/>
      <c r="G795" s="113"/>
      <c r="H795" s="113"/>
      <c r="I795" s="113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  <c r="AC795" s="113"/>
      <c r="AD795" s="113"/>
      <c r="AE795" s="113"/>
    </row>
    <row r="796" ht="15.75" customHeight="1">
      <c r="A796" s="113"/>
      <c r="B796" s="113"/>
      <c r="C796" s="113"/>
      <c r="D796" s="113"/>
      <c r="E796" s="113"/>
      <c r="F796" s="113"/>
      <c r="G796" s="113"/>
      <c r="H796" s="113"/>
      <c r="I796" s="113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  <c r="AC796" s="113"/>
      <c r="AD796" s="113"/>
      <c r="AE796" s="113"/>
    </row>
    <row r="797" ht="15.75" customHeight="1">
      <c r="A797" s="113"/>
      <c r="B797" s="113"/>
      <c r="C797" s="113"/>
      <c r="D797" s="113"/>
      <c r="E797" s="113"/>
      <c r="F797" s="113"/>
      <c r="G797" s="113"/>
      <c r="H797" s="113"/>
      <c r="I797" s="113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  <c r="AC797" s="113"/>
      <c r="AD797" s="113"/>
      <c r="AE797" s="113"/>
    </row>
    <row r="798" ht="15.75" customHeight="1">
      <c r="A798" s="113"/>
      <c r="B798" s="113"/>
      <c r="C798" s="113"/>
      <c r="D798" s="113"/>
      <c r="E798" s="113"/>
      <c r="F798" s="113"/>
      <c r="G798" s="113"/>
      <c r="H798" s="113"/>
      <c r="I798" s="113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  <c r="AC798" s="113"/>
      <c r="AD798" s="113"/>
      <c r="AE798" s="113"/>
    </row>
    <row r="799" ht="15.75" customHeight="1">
      <c r="A799" s="113"/>
      <c r="B799" s="113"/>
      <c r="C799" s="113"/>
      <c r="D799" s="113"/>
      <c r="E799" s="113"/>
      <c r="F799" s="113"/>
      <c r="G799" s="113"/>
      <c r="H799" s="113"/>
      <c r="I799" s="113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  <c r="AC799" s="113"/>
      <c r="AD799" s="113"/>
      <c r="AE799" s="113"/>
    </row>
    <row r="800" ht="15.75" customHeight="1">
      <c r="A800" s="113"/>
      <c r="B800" s="113"/>
      <c r="C800" s="113"/>
      <c r="D800" s="113"/>
      <c r="E800" s="113"/>
      <c r="F800" s="113"/>
      <c r="G800" s="113"/>
      <c r="H800" s="113"/>
      <c r="I800" s="113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  <c r="AC800" s="113"/>
      <c r="AD800" s="113"/>
      <c r="AE800" s="113"/>
    </row>
    <row r="801" ht="15.75" customHeight="1">
      <c r="A801" s="113"/>
      <c r="B801" s="113"/>
      <c r="C801" s="113"/>
      <c r="D801" s="113"/>
      <c r="E801" s="113"/>
      <c r="F801" s="113"/>
      <c r="G801" s="113"/>
      <c r="H801" s="113"/>
      <c r="I801" s="113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  <c r="AC801" s="113"/>
      <c r="AD801" s="113"/>
      <c r="AE801" s="113"/>
    </row>
    <row r="802" ht="15.75" customHeight="1">
      <c r="A802" s="113"/>
      <c r="B802" s="113"/>
      <c r="C802" s="113"/>
      <c r="D802" s="113"/>
      <c r="E802" s="113"/>
      <c r="F802" s="113"/>
      <c r="G802" s="113"/>
      <c r="H802" s="113"/>
      <c r="I802" s="113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  <c r="AC802" s="113"/>
      <c r="AD802" s="113"/>
      <c r="AE802" s="113"/>
    </row>
    <row r="803" ht="15.75" customHeight="1">
      <c r="A803" s="113"/>
      <c r="B803" s="113"/>
      <c r="C803" s="113"/>
      <c r="D803" s="113"/>
      <c r="E803" s="113"/>
      <c r="F803" s="113"/>
      <c r="G803" s="113"/>
      <c r="H803" s="113"/>
      <c r="I803" s="113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  <c r="AC803" s="113"/>
      <c r="AD803" s="113"/>
      <c r="AE803" s="113"/>
    </row>
    <row r="804" ht="15.75" customHeight="1">
      <c r="A804" s="113"/>
      <c r="B804" s="113"/>
      <c r="C804" s="113"/>
      <c r="D804" s="113"/>
      <c r="E804" s="113"/>
      <c r="F804" s="113"/>
      <c r="G804" s="113"/>
      <c r="H804" s="113"/>
      <c r="I804" s="113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  <c r="AC804" s="113"/>
      <c r="AD804" s="113"/>
      <c r="AE804" s="113"/>
    </row>
    <row r="805" ht="15.75" customHeight="1">
      <c r="A805" s="113"/>
      <c r="B805" s="113"/>
      <c r="C805" s="113"/>
      <c r="D805" s="113"/>
      <c r="E805" s="113"/>
      <c r="F805" s="113"/>
      <c r="G805" s="113"/>
      <c r="H805" s="113"/>
      <c r="I805" s="113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  <c r="AC805" s="113"/>
      <c r="AD805" s="113"/>
      <c r="AE805" s="113"/>
    </row>
    <row r="806" ht="15.75" customHeight="1">
      <c r="A806" s="113"/>
      <c r="B806" s="113"/>
      <c r="C806" s="113"/>
      <c r="D806" s="113"/>
      <c r="E806" s="113"/>
      <c r="F806" s="113"/>
      <c r="G806" s="113"/>
      <c r="H806" s="113"/>
      <c r="I806" s="113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  <c r="AC806" s="113"/>
      <c r="AD806" s="113"/>
      <c r="AE806" s="113"/>
    </row>
    <row r="807" ht="15.75" customHeight="1">
      <c r="A807" s="113"/>
      <c r="B807" s="113"/>
      <c r="C807" s="113"/>
      <c r="D807" s="113"/>
      <c r="E807" s="113"/>
      <c r="F807" s="113"/>
      <c r="G807" s="113"/>
      <c r="H807" s="113"/>
      <c r="I807" s="113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  <c r="AC807" s="113"/>
      <c r="AD807" s="113"/>
      <c r="AE807" s="113"/>
    </row>
    <row r="808" ht="15.75" customHeight="1">
      <c r="A808" s="113"/>
      <c r="B808" s="113"/>
      <c r="C808" s="113"/>
      <c r="D808" s="113"/>
      <c r="E808" s="113"/>
      <c r="F808" s="113"/>
      <c r="G808" s="113"/>
      <c r="H808" s="113"/>
      <c r="I808" s="113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  <c r="AC808" s="113"/>
      <c r="AD808" s="113"/>
      <c r="AE808" s="113"/>
    </row>
    <row r="809" ht="15.75" customHeight="1">
      <c r="A809" s="113"/>
      <c r="B809" s="113"/>
      <c r="C809" s="113"/>
      <c r="D809" s="113"/>
      <c r="E809" s="113"/>
      <c r="F809" s="113"/>
      <c r="G809" s="113"/>
      <c r="H809" s="113"/>
      <c r="I809" s="113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  <c r="AC809" s="113"/>
      <c r="AD809" s="113"/>
      <c r="AE809" s="113"/>
    </row>
    <row r="810" ht="15.75" customHeight="1">
      <c r="A810" s="113"/>
      <c r="B810" s="113"/>
      <c r="C810" s="113"/>
      <c r="D810" s="113"/>
      <c r="E810" s="113"/>
      <c r="F810" s="113"/>
      <c r="G810" s="113"/>
      <c r="H810" s="113"/>
      <c r="I810" s="113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  <c r="AC810" s="113"/>
      <c r="AD810" s="113"/>
      <c r="AE810" s="113"/>
    </row>
    <row r="811" ht="15.75" customHeight="1">
      <c r="A811" s="113"/>
      <c r="B811" s="113"/>
      <c r="C811" s="113"/>
      <c r="D811" s="113"/>
      <c r="E811" s="113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  <c r="AC811" s="113"/>
      <c r="AD811" s="113"/>
      <c r="AE811" s="113"/>
    </row>
    <row r="812" ht="15.75" customHeight="1">
      <c r="A812" s="113"/>
      <c r="B812" s="113"/>
      <c r="C812" s="113"/>
      <c r="D812" s="113"/>
      <c r="E812" s="113"/>
      <c r="F812" s="113"/>
      <c r="G812" s="113"/>
      <c r="H812" s="113"/>
      <c r="I812" s="113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  <c r="AC812" s="113"/>
      <c r="AD812" s="113"/>
      <c r="AE812" s="113"/>
    </row>
    <row r="813" ht="15.75" customHeight="1">
      <c r="A813" s="113"/>
      <c r="B813" s="113"/>
      <c r="C813" s="113"/>
      <c r="D813" s="113"/>
      <c r="E813" s="113"/>
      <c r="F813" s="113"/>
      <c r="G813" s="113"/>
      <c r="H813" s="113"/>
      <c r="I813" s="113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  <c r="AC813" s="113"/>
      <c r="AD813" s="113"/>
      <c r="AE813" s="113"/>
    </row>
    <row r="814" ht="15.75" customHeight="1">
      <c r="A814" s="113"/>
      <c r="B814" s="113"/>
      <c r="C814" s="113"/>
      <c r="D814" s="113"/>
      <c r="E814" s="113"/>
      <c r="F814" s="113"/>
      <c r="G814" s="113"/>
      <c r="H814" s="113"/>
      <c r="I814" s="113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  <c r="AC814" s="113"/>
      <c r="AD814" s="113"/>
      <c r="AE814" s="113"/>
    </row>
    <row r="815" ht="15.75" customHeight="1">
      <c r="A815" s="113"/>
      <c r="B815" s="113"/>
      <c r="C815" s="113"/>
      <c r="D815" s="113"/>
      <c r="E815" s="113"/>
      <c r="F815" s="113"/>
      <c r="G815" s="113"/>
      <c r="H815" s="113"/>
      <c r="I815" s="113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  <c r="AC815" s="113"/>
      <c r="AD815" s="113"/>
      <c r="AE815" s="113"/>
    </row>
    <row r="816" ht="15.75" customHeight="1">
      <c r="A816" s="113"/>
      <c r="B816" s="113"/>
      <c r="C816" s="113"/>
      <c r="D816" s="113"/>
      <c r="E816" s="113"/>
      <c r="F816" s="113"/>
      <c r="G816" s="113"/>
      <c r="H816" s="113"/>
      <c r="I816" s="113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  <c r="AC816" s="113"/>
      <c r="AD816" s="113"/>
      <c r="AE816" s="113"/>
    </row>
    <row r="817" ht="15.75" customHeight="1">
      <c r="A817" s="113"/>
      <c r="B817" s="113"/>
      <c r="C817" s="113"/>
      <c r="D817" s="113"/>
      <c r="E817" s="113"/>
      <c r="F817" s="113"/>
      <c r="G817" s="113"/>
      <c r="H817" s="113"/>
      <c r="I817" s="113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  <c r="AC817" s="113"/>
      <c r="AD817" s="113"/>
      <c r="AE817" s="113"/>
    </row>
    <row r="818" ht="15.75" customHeight="1">
      <c r="A818" s="113"/>
      <c r="B818" s="113"/>
      <c r="C818" s="113"/>
      <c r="D818" s="113"/>
      <c r="E818" s="113"/>
      <c r="F818" s="113"/>
      <c r="G818" s="113"/>
      <c r="H818" s="113"/>
      <c r="I818" s="113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  <c r="AC818" s="113"/>
      <c r="AD818" s="113"/>
      <c r="AE818" s="113"/>
    </row>
    <row r="819" ht="15.75" customHeight="1">
      <c r="A819" s="113"/>
      <c r="B819" s="113"/>
      <c r="C819" s="113"/>
      <c r="D819" s="113"/>
      <c r="E819" s="113"/>
      <c r="F819" s="113"/>
      <c r="G819" s="113"/>
      <c r="H819" s="113"/>
      <c r="I819" s="113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  <c r="AC819" s="113"/>
      <c r="AD819" s="113"/>
      <c r="AE819" s="113"/>
    </row>
    <row r="820" ht="15.75" customHeight="1">
      <c r="A820" s="113"/>
      <c r="B820" s="113"/>
      <c r="C820" s="113"/>
      <c r="D820" s="113"/>
      <c r="E820" s="113"/>
      <c r="F820" s="113"/>
      <c r="G820" s="113"/>
      <c r="H820" s="113"/>
      <c r="I820" s="113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  <c r="AC820" s="113"/>
      <c r="AD820" s="113"/>
      <c r="AE820" s="113"/>
    </row>
    <row r="821" ht="15.75" customHeight="1">
      <c r="A821" s="113"/>
      <c r="B821" s="113"/>
      <c r="C821" s="113"/>
      <c r="D821" s="113"/>
      <c r="E821" s="113"/>
      <c r="F821" s="113"/>
      <c r="G821" s="113"/>
      <c r="H821" s="113"/>
      <c r="I821" s="113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  <c r="AC821" s="113"/>
      <c r="AD821" s="113"/>
      <c r="AE821" s="113"/>
    </row>
    <row r="822" ht="15.75" customHeight="1">
      <c r="A822" s="113"/>
      <c r="B822" s="113"/>
      <c r="C822" s="113"/>
      <c r="D822" s="113"/>
      <c r="E822" s="113"/>
      <c r="F822" s="113"/>
      <c r="G822" s="113"/>
      <c r="H822" s="113"/>
      <c r="I822" s="113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  <c r="AC822" s="113"/>
      <c r="AD822" s="113"/>
      <c r="AE822" s="113"/>
    </row>
    <row r="823" ht="15.75" customHeight="1">
      <c r="A823" s="113"/>
      <c r="B823" s="113"/>
      <c r="C823" s="113"/>
      <c r="D823" s="113"/>
      <c r="E823" s="113"/>
      <c r="F823" s="113"/>
      <c r="G823" s="113"/>
      <c r="H823" s="113"/>
      <c r="I823" s="113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  <c r="AC823" s="113"/>
      <c r="AD823" s="113"/>
      <c r="AE823" s="113"/>
    </row>
    <row r="824" ht="15.75" customHeight="1">
      <c r="A824" s="113"/>
      <c r="B824" s="113"/>
      <c r="C824" s="113"/>
      <c r="D824" s="113"/>
      <c r="E824" s="113"/>
      <c r="F824" s="113"/>
      <c r="G824" s="113"/>
      <c r="H824" s="113"/>
      <c r="I824" s="113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  <c r="AC824" s="113"/>
      <c r="AD824" s="113"/>
      <c r="AE824" s="113"/>
    </row>
    <row r="825" ht="15.75" customHeight="1">
      <c r="A825" s="113"/>
      <c r="B825" s="113"/>
      <c r="C825" s="113"/>
      <c r="D825" s="113"/>
      <c r="E825" s="113"/>
      <c r="F825" s="113"/>
      <c r="G825" s="113"/>
      <c r="H825" s="113"/>
      <c r="I825" s="113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  <c r="AC825" s="113"/>
      <c r="AD825" s="113"/>
      <c r="AE825" s="113"/>
    </row>
    <row r="826" ht="15.75" customHeight="1">
      <c r="A826" s="113"/>
      <c r="B826" s="113"/>
      <c r="C826" s="113"/>
      <c r="D826" s="113"/>
      <c r="E826" s="113"/>
      <c r="F826" s="113"/>
      <c r="G826" s="113"/>
      <c r="H826" s="113"/>
      <c r="I826" s="113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  <c r="AC826" s="113"/>
      <c r="AD826" s="113"/>
      <c r="AE826" s="113"/>
    </row>
    <row r="827" ht="15.75" customHeight="1">
      <c r="A827" s="113"/>
      <c r="B827" s="113"/>
      <c r="C827" s="113"/>
      <c r="D827" s="113"/>
      <c r="E827" s="113"/>
      <c r="F827" s="113"/>
      <c r="G827" s="113"/>
      <c r="H827" s="113"/>
      <c r="I827" s="113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  <c r="AC827" s="113"/>
      <c r="AD827" s="113"/>
      <c r="AE827" s="113"/>
    </row>
    <row r="828" ht="15.75" customHeight="1">
      <c r="A828" s="113"/>
      <c r="B828" s="113"/>
      <c r="C828" s="113"/>
      <c r="D828" s="113"/>
      <c r="E828" s="113"/>
      <c r="F828" s="113"/>
      <c r="G828" s="113"/>
      <c r="H828" s="113"/>
      <c r="I828" s="113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  <c r="AC828" s="113"/>
      <c r="AD828" s="113"/>
      <c r="AE828" s="113"/>
    </row>
    <row r="829" ht="15.75" customHeight="1">
      <c r="A829" s="113"/>
      <c r="B829" s="113"/>
      <c r="C829" s="113"/>
      <c r="D829" s="113"/>
      <c r="E829" s="113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  <c r="AC829" s="113"/>
      <c r="AD829" s="113"/>
      <c r="AE829" s="113"/>
    </row>
    <row r="830" ht="15.75" customHeight="1">
      <c r="A830" s="113"/>
      <c r="B830" s="113"/>
      <c r="C830" s="113"/>
      <c r="D830" s="113"/>
      <c r="E830" s="113"/>
      <c r="F830" s="113"/>
      <c r="G830" s="113"/>
      <c r="H830" s="113"/>
      <c r="I830" s="113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  <c r="AC830" s="113"/>
      <c r="AD830" s="113"/>
      <c r="AE830" s="113"/>
    </row>
    <row r="831" ht="15.75" customHeight="1">
      <c r="A831" s="113"/>
      <c r="B831" s="113"/>
      <c r="C831" s="113"/>
      <c r="D831" s="113"/>
      <c r="E831" s="113"/>
      <c r="F831" s="113"/>
      <c r="G831" s="113"/>
      <c r="H831" s="113"/>
      <c r="I831" s="113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  <c r="AC831" s="113"/>
      <c r="AD831" s="113"/>
      <c r="AE831" s="113"/>
    </row>
    <row r="832" ht="15.75" customHeight="1">
      <c r="A832" s="113"/>
      <c r="B832" s="113"/>
      <c r="C832" s="113"/>
      <c r="D832" s="113"/>
      <c r="E832" s="113"/>
      <c r="F832" s="113"/>
      <c r="G832" s="113"/>
      <c r="H832" s="113"/>
      <c r="I832" s="113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  <c r="AC832" s="113"/>
      <c r="AD832" s="113"/>
      <c r="AE832" s="113"/>
    </row>
    <row r="833" ht="15.75" customHeight="1">
      <c r="A833" s="113"/>
      <c r="B833" s="113"/>
      <c r="C833" s="113"/>
      <c r="D833" s="113"/>
      <c r="E833" s="113"/>
      <c r="F833" s="113"/>
      <c r="G833" s="113"/>
      <c r="H833" s="113"/>
      <c r="I833" s="113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  <c r="AC833" s="113"/>
      <c r="AD833" s="113"/>
      <c r="AE833" s="113"/>
    </row>
    <row r="834" ht="15.75" customHeight="1">
      <c r="A834" s="113"/>
      <c r="B834" s="113"/>
      <c r="C834" s="113"/>
      <c r="D834" s="113"/>
      <c r="E834" s="113"/>
      <c r="F834" s="113"/>
      <c r="G834" s="113"/>
      <c r="H834" s="113"/>
      <c r="I834" s="113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  <c r="AC834" s="113"/>
      <c r="AD834" s="113"/>
      <c r="AE834" s="113"/>
    </row>
    <row r="835" ht="15.75" customHeight="1">
      <c r="A835" s="113"/>
      <c r="B835" s="113"/>
      <c r="C835" s="113"/>
      <c r="D835" s="113"/>
      <c r="E835" s="113"/>
      <c r="F835" s="113"/>
      <c r="G835" s="113"/>
      <c r="H835" s="113"/>
      <c r="I835" s="113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  <c r="AC835" s="113"/>
      <c r="AD835" s="113"/>
      <c r="AE835" s="113"/>
    </row>
    <row r="836" ht="15.75" customHeight="1">
      <c r="A836" s="113"/>
      <c r="B836" s="113"/>
      <c r="C836" s="113"/>
      <c r="D836" s="113"/>
      <c r="E836" s="113"/>
      <c r="F836" s="113"/>
      <c r="G836" s="113"/>
      <c r="H836" s="113"/>
      <c r="I836" s="113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  <c r="AC836" s="113"/>
      <c r="AD836" s="113"/>
      <c r="AE836" s="113"/>
    </row>
    <row r="837" ht="15.75" customHeight="1">
      <c r="A837" s="113"/>
      <c r="B837" s="113"/>
      <c r="C837" s="113"/>
      <c r="D837" s="113"/>
      <c r="E837" s="113"/>
      <c r="F837" s="113"/>
      <c r="G837" s="113"/>
      <c r="H837" s="113"/>
      <c r="I837" s="113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  <c r="AC837" s="113"/>
      <c r="AD837" s="113"/>
      <c r="AE837" s="113"/>
    </row>
    <row r="838" ht="15.75" customHeight="1">
      <c r="A838" s="113"/>
      <c r="B838" s="113"/>
      <c r="C838" s="113"/>
      <c r="D838" s="113"/>
      <c r="E838" s="113"/>
      <c r="F838" s="113"/>
      <c r="G838" s="113"/>
      <c r="H838" s="113"/>
      <c r="I838" s="113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  <c r="AC838" s="113"/>
      <c r="AD838" s="113"/>
      <c r="AE838" s="113"/>
    </row>
    <row r="839" ht="15.75" customHeight="1">
      <c r="A839" s="113"/>
      <c r="B839" s="113"/>
      <c r="C839" s="113"/>
      <c r="D839" s="113"/>
      <c r="E839" s="113"/>
      <c r="F839" s="113"/>
      <c r="G839" s="113"/>
      <c r="H839" s="113"/>
      <c r="I839" s="113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  <c r="AC839" s="113"/>
      <c r="AD839" s="113"/>
      <c r="AE839" s="113"/>
    </row>
    <row r="840" ht="15.75" customHeight="1">
      <c r="A840" s="113"/>
      <c r="B840" s="113"/>
      <c r="C840" s="113"/>
      <c r="D840" s="113"/>
      <c r="E840" s="113"/>
      <c r="F840" s="113"/>
      <c r="G840" s="113"/>
      <c r="H840" s="113"/>
      <c r="I840" s="113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  <c r="AC840" s="113"/>
      <c r="AD840" s="113"/>
      <c r="AE840" s="113"/>
    </row>
    <row r="841" ht="15.75" customHeight="1">
      <c r="A841" s="113"/>
      <c r="B841" s="113"/>
      <c r="C841" s="113"/>
      <c r="D841" s="113"/>
      <c r="E841" s="113"/>
      <c r="F841" s="113"/>
      <c r="G841" s="113"/>
      <c r="H841" s="113"/>
      <c r="I841" s="113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  <c r="AC841" s="113"/>
      <c r="AD841" s="113"/>
      <c r="AE841" s="113"/>
    </row>
    <row r="842" ht="15.75" customHeight="1">
      <c r="A842" s="113"/>
      <c r="B842" s="113"/>
      <c r="C842" s="113"/>
      <c r="D842" s="113"/>
      <c r="E842" s="113"/>
      <c r="F842" s="113"/>
      <c r="G842" s="113"/>
      <c r="H842" s="113"/>
      <c r="I842" s="113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  <c r="AC842" s="113"/>
      <c r="AD842" s="113"/>
      <c r="AE842" s="113"/>
    </row>
    <row r="843" ht="15.75" customHeight="1">
      <c r="A843" s="113"/>
      <c r="B843" s="113"/>
      <c r="C843" s="113"/>
      <c r="D843" s="113"/>
      <c r="E843" s="113"/>
      <c r="F843" s="113"/>
      <c r="G843" s="113"/>
      <c r="H843" s="113"/>
      <c r="I843" s="113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  <c r="AC843" s="113"/>
      <c r="AD843" s="113"/>
      <c r="AE843" s="113"/>
    </row>
    <row r="844" ht="15.75" customHeight="1">
      <c r="A844" s="113"/>
      <c r="B844" s="113"/>
      <c r="C844" s="113"/>
      <c r="D844" s="113"/>
      <c r="E844" s="113"/>
      <c r="F844" s="113"/>
      <c r="G844" s="113"/>
      <c r="H844" s="113"/>
      <c r="I844" s="113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  <c r="AC844" s="113"/>
      <c r="AD844" s="113"/>
      <c r="AE844" s="113"/>
    </row>
    <row r="845" ht="15.75" customHeight="1">
      <c r="A845" s="113"/>
      <c r="B845" s="113"/>
      <c r="C845" s="113"/>
      <c r="D845" s="113"/>
      <c r="E845" s="113"/>
      <c r="F845" s="113"/>
      <c r="G845" s="113"/>
      <c r="H845" s="113"/>
      <c r="I845" s="113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  <c r="AC845" s="113"/>
      <c r="AD845" s="113"/>
      <c r="AE845" s="113"/>
    </row>
    <row r="846" ht="15.75" customHeight="1">
      <c r="A846" s="113"/>
      <c r="B846" s="113"/>
      <c r="C846" s="113"/>
      <c r="D846" s="113"/>
      <c r="E846" s="113"/>
      <c r="F846" s="113"/>
      <c r="G846" s="113"/>
      <c r="H846" s="113"/>
      <c r="I846" s="113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  <c r="AC846" s="113"/>
      <c r="AD846" s="113"/>
      <c r="AE846" s="113"/>
    </row>
    <row r="847" ht="15.75" customHeight="1">
      <c r="A847" s="113"/>
      <c r="B847" s="113"/>
      <c r="C847" s="113"/>
      <c r="D847" s="113"/>
      <c r="E847" s="113"/>
      <c r="F847" s="113"/>
      <c r="G847" s="113"/>
      <c r="H847" s="113"/>
      <c r="I847" s="113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  <c r="AC847" s="113"/>
      <c r="AD847" s="113"/>
      <c r="AE847" s="113"/>
    </row>
    <row r="848" ht="15.75" customHeight="1">
      <c r="A848" s="113"/>
      <c r="B848" s="113"/>
      <c r="C848" s="113"/>
      <c r="D848" s="113"/>
      <c r="E848" s="113"/>
      <c r="F848" s="113"/>
      <c r="G848" s="113"/>
      <c r="H848" s="113"/>
      <c r="I848" s="113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  <c r="AC848" s="113"/>
      <c r="AD848" s="113"/>
      <c r="AE848" s="113"/>
    </row>
    <row r="849" ht="15.75" customHeight="1">
      <c r="A849" s="113"/>
      <c r="B849" s="113"/>
      <c r="C849" s="113"/>
      <c r="D849" s="113"/>
      <c r="E849" s="113"/>
      <c r="F849" s="113"/>
      <c r="G849" s="113"/>
      <c r="H849" s="113"/>
      <c r="I849" s="113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  <c r="AC849" s="113"/>
      <c r="AD849" s="113"/>
      <c r="AE849" s="113"/>
    </row>
    <row r="850" ht="15.75" customHeight="1">
      <c r="A850" s="113"/>
      <c r="B850" s="113"/>
      <c r="C850" s="113"/>
      <c r="D850" s="113"/>
      <c r="E850" s="11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  <c r="AC850" s="113"/>
      <c r="AD850" s="113"/>
      <c r="AE850" s="113"/>
    </row>
    <row r="851" ht="15.75" customHeight="1">
      <c r="A851" s="113"/>
      <c r="B851" s="113"/>
      <c r="C851" s="113"/>
      <c r="D851" s="113"/>
      <c r="E851" s="113"/>
      <c r="F851" s="113"/>
      <c r="G851" s="113"/>
      <c r="H851" s="113"/>
      <c r="I851" s="113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  <c r="AC851" s="113"/>
      <c r="AD851" s="113"/>
      <c r="AE851" s="113"/>
    </row>
    <row r="852" ht="15.75" customHeight="1">
      <c r="A852" s="113"/>
      <c r="B852" s="113"/>
      <c r="C852" s="113"/>
      <c r="D852" s="113"/>
      <c r="E852" s="113"/>
      <c r="F852" s="113"/>
      <c r="G852" s="113"/>
      <c r="H852" s="113"/>
      <c r="I852" s="113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  <c r="AC852" s="113"/>
      <c r="AD852" s="113"/>
      <c r="AE852" s="113"/>
    </row>
    <row r="853" ht="15.75" customHeight="1">
      <c r="A853" s="113"/>
      <c r="B853" s="113"/>
      <c r="C853" s="113"/>
      <c r="D853" s="113"/>
      <c r="E853" s="113"/>
      <c r="F853" s="113"/>
      <c r="G853" s="113"/>
      <c r="H853" s="113"/>
      <c r="I853" s="113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  <c r="AC853" s="113"/>
      <c r="AD853" s="113"/>
      <c r="AE853" s="113"/>
    </row>
    <row r="854" ht="15.75" customHeight="1">
      <c r="A854" s="113"/>
      <c r="B854" s="113"/>
      <c r="C854" s="113"/>
      <c r="D854" s="113"/>
      <c r="E854" s="113"/>
      <c r="F854" s="113"/>
      <c r="G854" s="113"/>
      <c r="H854" s="113"/>
      <c r="I854" s="113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  <c r="AC854" s="113"/>
      <c r="AD854" s="113"/>
      <c r="AE854" s="113"/>
    </row>
    <row r="855" ht="15.75" customHeight="1">
      <c r="A855" s="113"/>
      <c r="B855" s="113"/>
      <c r="C855" s="113"/>
      <c r="D855" s="113"/>
      <c r="E855" s="113"/>
      <c r="F855" s="113"/>
      <c r="G855" s="113"/>
      <c r="H855" s="113"/>
      <c r="I855" s="113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  <c r="AC855" s="113"/>
      <c r="AD855" s="113"/>
      <c r="AE855" s="113"/>
    </row>
    <row r="856" ht="15.75" customHeight="1">
      <c r="A856" s="113"/>
      <c r="B856" s="113"/>
      <c r="C856" s="113"/>
      <c r="D856" s="113"/>
      <c r="E856" s="113"/>
      <c r="F856" s="113"/>
      <c r="G856" s="113"/>
      <c r="H856" s="113"/>
      <c r="I856" s="113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  <c r="AC856" s="113"/>
      <c r="AD856" s="113"/>
      <c r="AE856" s="113"/>
    </row>
    <row r="857" ht="15.75" customHeight="1">
      <c r="A857" s="113"/>
      <c r="B857" s="113"/>
      <c r="C857" s="113"/>
      <c r="D857" s="113"/>
      <c r="E857" s="113"/>
      <c r="F857" s="113"/>
      <c r="G857" s="113"/>
      <c r="H857" s="113"/>
      <c r="I857" s="113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  <c r="AC857" s="113"/>
      <c r="AD857" s="113"/>
      <c r="AE857" s="113"/>
    </row>
    <row r="858" ht="15.75" customHeight="1">
      <c r="A858" s="113"/>
      <c r="B858" s="113"/>
      <c r="C858" s="113"/>
      <c r="D858" s="113"/>
      <c r="E858" s="113"/>
      <c r="F858" s="113"/>
      <c r="G858" s="113"/>
      <c r="H858" s="113"/>
      <c r="I858" s="113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  <c r="AC858" s="113"/>
      <c r="AD858" s="113"/>
      <c r="AE858" s="113"/>
    </row>
    <row r="859" ht="15.75" customHeight="1">
      <c r="A859" s="113"/>
      <c r="B859" s="113"/>
      <c r="C859" s="113"/>
      <c r="D859" s="113"/>
      <c r="E859" s="113"/>
      <c r="F859" s="113"/>
      <c r="G859" s="113"/>
      <c r="H859" s="113"/>
      <c r="I859" s="113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  <c r="AC859" s="113"/>
      <c r="AD859" s="113"/>
      <c r="AE859" s="113"/>
    </row>
    <row r="860" ht="15.75" customHeight="1">
      <c r="A860" s="113"/>
      <c r="B860" s="113"/>
      <c r="C860" s="113"/>
      <c r="D860" s="113"/>
      <c r="E860" s="113"/>
      <c r="F860" s="113"/>
      <c r="G860" s="113"/>
      <c r="H860" s="113"/>
      <c r="I860" s="113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  <c r="AC860" s="113"/>
      <c r="AD860" s="113"/>
      <c r="AE860" s="113"/>
    </row>
    <row r="861" ht="15.75" customHeight="1">
      <c r="A861" s="113"/>
      <c r="B861" s="113"/>
      <c r="C861" s="113"/>
      <c r="D861" s="113"/>
      <c r="E861" s="113"/>
      <c r="F861" s="113"/>
      <c r="G861" s="113"/>
      <c r="H861" s="113"/>
      <c r="I861" s="113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  <c r="AC861" s="113"/>
      <c r="AD861" s="113"/>
      <c r="AE861" s="113"/>
    </row>
    <row r="862" ht="15.75" customHeight="1">
      <c r="A862" s="113"/>
      <c r="B862" s="113"/>
      <c r="C862" s="113"/>
      <c r="D862" s="113"/>
      <c r="E862" s="113"/>
      <c r="F862" s="113"/>
      <c r="G862" s="113"/>
      <c r="H862" s="113"/>
      <c r="I862" s="113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  <c r="AC862" s="113"/>
      <c r="AD862" s="113"/>
      <c r="AE862" s="113"/>
    </row>
    <row r="863" ht="15.75" customHeight="1">
      <c r="A863" s="113"/>
      <c r="B863" s="113"/>
      <c r="C863" s="113"/>
      <c r="D863" s="113"/>
      <c r="E863" s="113"/>
      <c r="F863" s="113"/>
      <c r="G863" s="113"/>
      <c r="H863" s="113"/>
      <c r="I863" s="113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  <c r="AC863" s="113"/>
      <c r="AD863" s="113"/>
      <c r="AE863" s="113"/>
    </row>
    <row r="864" ht="15.75" customHeight="1">
      <c r="A864" s="113"/>
      <c r="B864" s="113"/>
      <c r="C864" s="113"/>
      <c r="D864" s="113"/>
      <c r="E864" s="113"/>
      <c r="F864" s="113"/>
      <c r="G864" s="113"/>
      <c r="H864" s="113"/>
      <c r="I864" s="113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  <c r="AC864" s="113"/>
      <c r="AD864" s="113"/>
      <c r="AE864" s="113"/>
    </row>
    <row r="865" ht="15.75" customHeight="1">
      <c r="A865" s="113"/>
      <c r="B865" s="113"/>
      <c r="C865" s="113"/>
      <c r="D865" s="113"/>
      <c r="E865" s="113"/>
      <c r="F865" s="113"/>
      <c r="G865" s="113"/>
      <c r="H865" s="113"/>
      <c r="I865" s="113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  <c r="AC865" s="113"/>
      <c r="AD865" s="113"/>
      <c r="AE865" s="113"/>
    </row>
    <row r="866" ht="15.75" customHeight="1">
      <c r="A866" s="113"/>
      <c r="B866" s="113"/>
      <c r="C866" s="113"/>
      <c r="D866" s="113"/>
      <c r="E866" s="113"/>
      <c r="F866" s="113"/>
      <c r="G866" s="113"/>
      <c r="H866" s="113"/>
      <c r="I866" s="113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  <c r="AC866" s="113"/>
      <c r="AD866" s="113"/>
      <c r="AE866" s="113"/>
    </row>
    <row r="867" ht="15.75" customHeight="1">
      <c r="A867" s="113"/>
      <c r="B867" s="113"/>
      <c r="C867" s="113"/>
      <c r="D867" s="113"/>
      <c r="E867" s="113"/>
      <c r="F867" s="113"/>
      <c r="G867" s="113"/>
      <c r="H867" s="113"/>
      <c r="I867" s="113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  <c r="AC867" s="113"/>
      <c r="AD867" s="113"/>
      <c r="AE867" s="113"/>
    </row>
    <row r="868" ht="15.75" customHeight="1">
      <c r="A868" s="113"/>
      <c r="B868" s="113"/>
      <c r="C868" s="113"/>
      <c r="D868" s="113"/>
      <c r="E868" s="113"/>
      <c r="F868" s="113"/>
      <c r="G868" s="113"/>
      <c r="H868" s="113"/>
      <c r="I868" s="113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  <c r="AC868" s="113"/>
      <c r="AD868" s="113"/>
      <c r="AE868" s="113"/>
    </row>
    <row r="869" ht="15.75" customHeight="1">
      <c r="A869" s="113"/>
      <c r="B869" s="113"/>
      <c r="C869" s="113"/>
      <c r="D869" s="113"/>
      <c r="E869" s="113"/>
      <c r="F869" s="113"/>
      <c r="G869" s="113"/>
      <c r="H869" s="113"/>
      <c r="I869" s="113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  <c r="AC869" s="113"/>
      <c r="AD869" s="113"/>
      <c r="AE869" s="113"/>
    </row>
    <row r="870" ht="15.75" customHeight="1">
      <c r="A870" s="113"/>
      <c r="B870" s="113"/>
      <c r="C870" s="113"/>
      <c r="D870" s="113"/>
      <c r="E870" s="113"/>
      <c r="F870" s="113"/>
      <c r="G870" s="113"/>
      <c r="H870" s="113"/>
      <c r="I870" s="113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  <c r="AC870" s="113"/>
      <c r="AD870" s="113"/>
      <c r="AE870" s="113"/>
    </row>
    <row r="871" ht="15.75" customHeight="1">
      <c r="A871" s="113"/>
      <c r="B871" s="113"/>
      <c r="C871" s="113"/>
      <c r="D871" s="113"/>
      <c r="E871" s="113"/>
      <c r="F871" s="113"/>
      <c r="G871" s="113"/>
      <c r="H871" s="113"/>
      <c r="I871" s="113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  <c r="AC871" s="113"/>
      <c r="AD871" s="113"/>
      <c r="AE871" s="113"/>
    </row>
    <row r="872" ht="15.75" customHeight="1">
      <c r="A872" s="113"/>
      <c r="B872" s="113"/>
      <c r="C872" s="113"/>
      <c r="D872" s="113"/>
      <c r="E872" s="113"/>
      <c r="F872" s="113"/>
      <c r="G872" s="113"/>
      <c r="H872" s="113"/>
      <c r="I872" s="113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  <c r="AC872" s="113"/>
      <c r="AD872" s="113"/>
      <c r="AE872" s="113"/>
    </row>
    <row r="873" ht="15.75" customHeight="1">
      <c r="A873" s="113"/>
      <c r="B873" s="113"/>
      <c r="C873" s="113"/>
      <c r="D873" s="113"/>
      <c r="E873" s="113"/>
      <c r="F873" s="113"/>
      <c r="G873" s="113"/>
      <c r="H873" s="113"/>
      <c r="I873" s="113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  <c r="AC873" s="113"/>
      <c r="AD873" s="113"/>
      <c r="AE873" s="113"/>
    </row>
    <row r="874" ht="15.75" customHeight="1">
      <c r="A874" s="113"/>
      <c r="B874" s="113"/>
      <c r="C874" s="113"/>
      <c r="D874" s="113"/>
      <c r="E874" s="113"/>
      <c r="F874" s="113"/>
      <c r="G874" s="113"/>
      <c r="H874" s="113"/>
      <c r="I874" s="113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  <c r="AC874" s="113"/>
      <c r="AD874" s="113"/>
      <c r="AE874" s="113"/>
    </row>
    <row r="875" ht="15.75" customHeight="1">
      <c r="A875" s="113"/>
      <c r="B875" s="113"/>
      <c r="C875" s="113"/>
      <c r="D875" s="113"/>
      <c r="E875" s="113"/>
      <c r="F875" s="113"/>
      <c r="G875" s="113"/>
      <c r="H875" s="113"/>
      <c r="I875" s="113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  <c r="AC875" s="113"/>
      <c r="AD875" s="113"/>
      <c r="AE875" s="113"/>
    </row>
    <row r="876" ht="15.75" customHeight="1">
      <c r="A876" s="113"/>
      <c r="B876" s="113"/>
      <c r="C876" s="113"/>
      <c r="D876" s="113"/>
      <c r="E876" s="113"/>
      <c r="F876" s="113"/>
      <c r="G876" s="113"/>
      <c r="H876" s="113"/>
      <c r="I876" s="113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  <c r="AC876" s="113"/>
      <c r="AD876" s="113"/>
      <c r="AE876" s="113"/>
    </row>
    <row r="877" ht="15.75" customHeight="1">
      <c r="A877" s="113"/>
      <c r="B877" s="113"/>
      <c r="C877" s="113"/>
      <c r="D877" s="113"/>
      <c r="E877" s="113"/>
      <c r="F877" s="113"/>
      <c r="G877" s="113"/>
      <c r="H877" s="113"/>
      <c r="I877" s="113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  <c r="AC877" s="113"/>
      <c r="AD877" s="113"/>
      <c r="AE877" s="113"/>
    </row>
    <row r="878" ht="15.75" customHeight="1">
      <c r="A878" s="113"/>
      <c r="B878" s="113"/>
      <c r="C878" s="113"/>
      <c r="D878" s="113"/>
      <c r="E878" s="113"/>
      <c r="F878" s="113"/>
      <c r="G878" s="113"/>
      <c r="H878" s="113"/>
      <c r="I878" s="113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  <c r="AC878" s="113"/>
      <c r="AD878" s="113"/>
      <c r="AE878" s="113"/>
    </row>
    <row r="879" ht="15.75" customHeight="1">
      <c r="A879" s="113"/>
      <c r="B879" s="113"/>
      <c r="C879" s="113"/>
      <c r="D879" s="113"/>
      <c r="E879" s="113"/>
      <c r="F879" s="113"/>
      <c r="G879" s="113"/>
      <c r="H879" s="113"/>
      <c r="I879" s="113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  <c r="AC879" s="113"/>
      <c r="AD879" s="113"/>
      <c r="AE879" s="113"/>
    </row>
    <row r="880" ht="15.75" customHeight="1">
      <c r="A880" s="113"/>
      <c r="B880" s="113"/>
      <c r="C880" s="113"/>
      <c r="D880" s="113"/>
      <c r="E880" s="113"/>
      <c r="F880" s="113"/>
      <c r="G880" s="113"/>
      <c r="H880" s="113"/>
      <c r="I880" s="113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  <c r="AC880" s="113"/>
      <c r="AD880" s="113"/>
      <c r="AE880" s="113"/>
    </row>
    <row r="881" ht="15.75" customHeight="1">
      <c r="A881" s="113"/>
      <c r="B881" s="113"/>
      <c r="C881" s="113"/>
      <c r="D881" s="113"/>
      <c r="E881" s="113"/>
      <c r="F881" s="113"/>
      <c r="G881" s="113"/>
      <c r="H881" s="113"/>
      <c r="I881" s="113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  <c r="AC881" s="113"/>
      <c r="AD881" s="113"/>
      <c r="AE881" s="113"/>
    </row>
    <row r="882" ht="15.75" customHeight="1">
      <c r="A882" s="113"/>
      <c r="B882" s="113"/>
      <c r="C882" s="113"/>
      <c r="D882" s="113"/>
      <c r="E882" s="113"/>
      <c r="F882" s="113"/>
      <c r="G882" s="113"/>
      <c r="H882" s="113"/>
      <c r="I882" s="113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  <c r="AC882" s="113"/>
      <c r="AD882" s="113"/>
      <c r="AE882" s="113"/>
    </row>
    <row r="883" ht="15.75" customHeight="1">
      <c r="A883" s="113"/>
      <c r="B883" s="113"/>
      <c r="C883" s="113"/>
      <c r="D883" s="113"/>
      <c r="E883" s="113"/>
      <c r="F883" s="113"/>
      <c r="G883" s="113"/>
      <c r="H883" s="113"/>
      <c r="I883" s="113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  <c r="AC883" s="113"/>
      <c r="AD883" s="113"/>
      <c r="AE883" s="113"/>
    </row>
    <row r="884" ht="15.75" customHeight="1">
      <c r="A884" s="113"/>
      <c r="B884" s="113"/>
      <c r="C884" s="113"/>
      <c r="D884" s="113"/>
      <c r="E884" s="113"/>
      <c r="F884" s="113"/>
      <c r="G884" s="113"/>
      <c r="H884" s="113"/>
      <c r="I884" s="113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  <c r="AC884" s="113"/>
      <c r="AD884" s="113"/>
      <c r="AE884" s="113"/>
    </row>
    <row r="885" ht="15.75" customHeight="1">
      <c r="A885" s="113"/>
      <c r="B885" s="113"/>
      <c r="C885" s="113"/>
      <c r="D885" s="113"/>
      <c r="E885" s="113"/>
      <c r="F885" s="113"/>
      <c r="G885" s="113"/>
      <c r="H885" s="113"/>
      <c r="I885" s="113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  <c r="AC885" s="113"/>
      <c r="AD885" s="113"/>
      <c r="AE885" s="113"/>
    </row>
    <row r="886" ht="15.75" customHeight="1">
      <c r="A886" s="113"/>
      <c r="B886" s="113"/>
      <c r="C886" s="113"/>
      <c r="D886" s="113"/>
      <c r="E886" s="113"/>
      <c r="F886" s="113"/>
      <c r="G886" s="113"/>
      <c r="H886" s="113"/>
      <c r="I886" s="113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  <c r="AC886" s="113"/>
      <c r="AD886" s="113"/>
      <c r="AE886" s="113"/>
    </row>
    <row r="887" ht="15.75" customHeight="1">
      <c r="A887" s="113"/>
      <c r="B887" s="113"/>
      <c r="C887" s="113"/>
      <c r="D887" s="113"/>
      <c r="E887" s="113"/>
      <c r="F887" s="113"/>
      <c r="G887" s="113"/>
      <c r="H887" s="113"/>
      <c r="I887" s="113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  <c r="AC887" s="113"/>
      <c r="AD887" s="113"/>
      <c r="AE887" s="113"/>
    </row>
    <row r="888" ht="15.75" customHeight="1">
      <c r="A888" s="113"/>
      <c r="B888" s="113"/>
      <c r="C888" s="113"/>
      <c r="D888" s="113"/>
      <c r="E888" s="113"/>
      <c r="F888" s="113"/>
      <c r="G888" s="113"/>
      <c r="H888" s="113"/>
      <c r="I888" s="113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  <c r="AC888" s="113"/>
      <c r="AD888" s="113"/>
      <c r="AE888" s="113"/>
    </row>
    <row r="889" ht="15.75" customHeight="1">
      <c r="A889" s="113"/>
      <c r="B889" s="113"/>
      <c r="C889" s="113"/>
      <c r="D889" s="113"/>
      <c r="E889" s="113"/>
      <c r="F889" s="113"/>
      <c r="G889" s="113"/>
      <c r="H889" s="113"/>
      <c r="I889" s="113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  <c r="AC889" s="113"/>
      <c r="AD889" s="113"/>
      <c r="AE889" s="113"/>
    </row>
    <row r="890" ht="15.75" customHeight="1">
      <c r="A890" s="113"/>
      <c r="B890" s="113"/>
      <c r="C890" s="113"/>
      <c r="D890" s="113"/>
      <c r="E890" s="113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  <c r="AC890" s="113"/>
      <c r="AD890" s="113"/>
      <c r="AE890" s="113"/>
    </row>
    <row r="891" ht="15.75" customHeight="1">
      <c r="A891" s="113"/>
      <c r="B891" s="113"/>
      <c r="C891" s="113"/>
      <c r="D891" s="113"/>
      <c r="E891" s="113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  <c r="AC891" s="113"/>
      <c r="AD891" s="113"/>
      <c r="AE891" s="113"/>
    </row>
    <row r="892" ht="15.75" customHeight="1">
      <c r="A892" s="113"/>
      <c r="B892" s="113"/>
      <c r="C892" s="113"/>
      <c r="D892" s="113"/>
      <c r="E892" s="113"/>
      <c r="F892" s="113"/>
      <c r="G892" s="113"/>
      <c r="H892" s="113"/>
      <c r="I892" s="113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  <c r="AC892" s="113"/>
      <c r="AD892" s="113"/>
      <c r="AE892" s="113"/>
    </row>
    <row r="893" ht="15.75" customHeight="1">
      <c r="A893" s="113"/>
      <c r="B893" s="113"/>
      <c r="C893" s="113"/>
      <c r="D893" s="113"/>
      <c r="E893" s="113"/>
      <c r="F893" s="113"/>
      <c r="G893" s="113"/>
      <c r="H893" s="113"/>
      <c r="I893" s="113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  <c r="AC893" s="113"/>
      <c r="AD893" s="113"/>
      <c r="AE893" s="113"/>
    </row>
    <row r="894" ht="15.75" customHeight="1">
      <c r="A894" s="113"/>
      <c r="B894" s="113"/>
      <c r="C894" s="113"/>
      <c r="D894" s="113"/>
      <c r="E894" s="113"/>
      <c r="F894" s="113"/>
      <c r="G894" s="11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  <c r="AC894" s="113"/>
      <c r="AD894" s="113"/>
      <c r="AE894" s="113"/>
    </row>
    <row r="895" ht="15.75" customHeight="1">
      <c r="A895" s="113"/>
      <c r="B895" s="113"/>
      <c r="C895" s="113"/>
      <c r="D895" s="113"/>
      <c r="E895" s="113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  <c r="AC895" s="113"/>
      <c r="AD895" s="113"/>
      <c r="AE895" s="113"/>
    </row>
    <row r="896" ht="15.75" customHeight="1">
      <c r="A896" s="113"/>
      <c r="B896" s="113"/>
      <c r="C896" s="113"/>
      <c r="D896" s="113"/>
      <c r="E896" s="113"/>
      <c r="F896" s="113"/>
      <c r="G896" s="113"/>
      <c r="H896" s="113"/>
      <c r="I896" s="113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  <c r="AC896" s="113"/>
      <c r="AD896" s="113"/>
      <c r="AE896" s="113"/>
    </row>
    <row r="897" ht="15.75" customHeight="1">
      <c r="A897" s="113"/>
      <c r="B897" s="113"/>
      <c r="C897" s="113"/>
      <c r="D897" s="113"/>
      <c r="E897" s="113"/>
      <c r="F897" s="113"/>
      <c r="G897" s="113"/>
      <c r="H897" s="113"/>
      <c r="I897" s="113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  <c r="AC897" s="113"/>
      <c r="AD897" s="113"/>
      <c r="AE897" s="113"/>
    </row>
    <row r="898" ht="15.75" customHeight="1">
      <c r="A898" s="113"/>
      <c r="B898" s="113"/>
      <c r="C898" s="113"/>
      <c r="D898" s="113"/>
      <c r="E898" s="113"/>
      <c r="F898" s="113"/>
      <c r="G898" s="113"/>
      <c r="H898" s="113"/>
      <c r="I898" s="113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  <c r="AC898" s="113"/>
      <c r="AD898" s="113"/>
      <c r="AE898" s="113"/>
    </row>
    <row r="899" ht="15.75" customHeight="1">
      <c r="A899" s="113"/>
      <c r="B899" s="113"/>
      <c r="C899" s="113"/>
      <c r="D899" s="113"/>
      <c r="E899" s="113"/>
      <c r="F899" s="113"/>
      <c r="G899" s="113"/>
      <c r="H899" s="113"/>
      <c r="I899" s="113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  <c r="AC899" s="113"/>
      <c r="AD899" s="113"/>
      <c r="AE899" s="113"/>
    </row>
    <row r="900" ht="15.75" customHeight="1">
      <c r="A900" s="113"/>
      <c r="B900" s="113"/>
      <c r="C900" s="113"/>
      <c r="D900" s="113"/>
      <c r="E900" s="113"/>
      <c r="F900" s="113"/>
      <c r="G900" s="113"/>
      <c r="H900" s="113"/>
      <c r="I900" s="113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  <c r="AC900" s="113"/>
      <c r="AD900" s="113"/>
      <c r="AE900" s="113"/>
    </row>
    <row r="901" ht="15.75" customHeight="1">
      <c r="A901" s="113"/>
      <c r="B901" s="113"/>
      <c r="C901" s="113"/>
      <c r="D901" s="113"/>
      <c r="E901" s="113"/>
      <c r="F901" s="113"/>
      <c r="G901" s="113"/>
      <c r="H901" s="113"/>
      <c r="I901" s="113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  <c r="AC901" s="113"/>
      <c r="AD901" s="113"/>
      <c r="AE901" s="113"/>
    </row>
    <row r="902" ht="15.75" customHeight="1">
      <c r="A902" s="113"/>
      <c r="B902" s="113"/>
      <c r="C902" s="113"/>
      <c r="D902" s="113"/>
      <c r="E902" s="113"/>
      <c r="F902" s="113"/>
      <c r="G902" s="113"/>
      <c r="H902" s="113"/>
      <c r="I902" s="113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  <c r="AC902" s="113"/>
      <c r="AD902" s="113"/>
      <c r="AE902" s="113"/>
    </row>
    <row r="903" ht="15.75" customHeight="1">
      <c r="A903" s="113"/>
      <c r="B903" s="113"/>
      <c r="C903" s="113"/>
      <c r="D903" s="113"/>
      <c r="E903" s="113"/>
      <c r="F903" s="113"/>
      <c r="G903" s="113"/>
      <c r="H903" s="113"/>
      <c r="I903" s="113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  <c r="AC903" s="113"/>
      <c r="AD903" s="113"/>
      <c r="AE903" s="113"/>
    </row>
    <row r="904" ht="15.75" customHeight="1">
      <c r="A904" s="113"/>
      <c r="B904" s="113"/>
      <c r="C904" s="113"/>
      <c r="D904" s="113"/>
      <c r="E904" s="113"/>
      <c r="F904" s="113"/>
      <c r="G904" s="113"/>
      <c r="H904" s="113"/>
      <c r="I904" s="113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  <c r="AC904" s="113"/>
      <c r="AD904" s="113"/>
      <c r="AE904" s="113"/>
    </row>
    <row r="905" ht="15.75" customHeight="1">
      <c r="A905" s="113"/>
      <c r="B905" s="113"/>
      <c r="C905" s="113"/>
      <c r="D905" s="113"/>
      <c r="E905" s="113"/>
      <c r="F905" s="113"/>
      <c r="G905" s="113"/>
      <c r="H905" s="113"/>
      <c r="I905" s="113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  <c r="AC905" s="113"/>
      <c r="AD905" s="113"/>
      <c r="AE905" s="113"/>
    </row>
    <row r="906" ht="15.75" customHeight="1">
      <c r="A906" s="113"/>
      <c r="B906" s="113"/>
      <c r="C906" s="113"/>
      <c r="D906" s="113"/>
      <c r="E906" s="113"/>
      <c r="F906" s="113"/>
      <c r="G906" s="113"/>
      <c r="H906" s="113"/>
      <c r="I906" s="113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  <c r="AC906" s="113"/>
      <c r="AD906" s="113"/>
      <c r="AE906" s="113"/>
    </row>
    <row r="907" ht="15.75" customHeight="1">
      <c r="A907" s="113"/>
      <c r="B907" s="113"/>
      <c r="C907" s="113"/>
      <c r="D907" s="113"/>
      <c r="E907" s="113"/>
      <c r="F907" s="113"/>
      <c r="G907" s="113"/>
      <c r="H907" s="113"/>
      <c r="I907" s="113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  <c r="AC907" s="113"/>
      <c r="AD907" s="113"/>
      <c r="AE907" s="113"/>
    </row>
    <row r="908" ht="15.75" customHeight="1">
      <c r="A908" s="113"/>
      <c r="B908" s="113"/>
      <c r="C908" s="113"/>
      <c r="D908" s="113"/>
      <c r="E908" s="113"/>
      <c r="F908" s="113"/>
      <c r="G908" s="113"/>
      <c r="H908" s="113"/>
      <c r="I908" s="113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  <c r="AC908" s="113"/>
      <c r="AD908" s="113"/>
      <c r="AE908" s="113"/>
    </row>
    <row r="909" ht="15.75" customHeight="1">
      <c r="A909" s="113"/>
      <c r="B909" s="113"/>
      <c r="C909" s="113"/>
      <c r="D909" s="113"/>
      <c r="E909" s="113"/>
      <c r="F909" s="113"/>
      <c r="G909" s="113"/>
      <c r="H909" s="113"/>
      <c r="I909" s="113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  <c r="AC909" s="113"/>
      <c r="AD909" s="113"/>
      <c r="AE909" s="113"/>
    </row>
    <row r="910" ht="15.75" customHeight="1">
      <c r="A910" s="113"/>
      <c r="B910" s="113"/>
      <c r="C910" s="113"/>
      <c r="D910" s="113"/>
      <c r="E910" s="113"/>
      <c r="F910" s="113"/>
      <c r="G910" s="113"/>
      <c r="H910" s="113"/>
      <c r="I910" s="113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  <c r="AC910" s="113"/>
      <c r="AD910" s="113"/>
      <c r="AE910" s="113"/>
    </row>
    <row r="911" ht="15.75" customHeight="1">
      <c r="A911" s="113"/>
      <c r="B911" s="113"/>
      <c r="C911" s="113"/>
      <c r="D911" s="113"/>
      <c r="E911" s="113"/>
      <c r="F911" s="113"/>
      <c r="G911" s="113"/>
      <c r="H911" s="113"/>
      <c r="I911" s="113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  <c r="AC911" s="113"/>
      <c r="AD911" s="113"/>
      <c r="AE911" s="113"/>
    </row>
    <row r="912" ht="15.75" customHeight="1">
      <c r="A912" s="113"/>
      <c r="B912" s="113"/>
      <c r="C912" s="113"/>
      <c r="D912" s="113"/>
      <c r="E912" s="113"/>
      <c r="F912" s="113"/>
      <c r="G912" s="113"/>
      <c r="H912" s="113"/>
      <c r="I912" s="113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  <c r="AC912" s="113"/>
      <c r="AD912" s="113"/>
      <c r="AE912" s="113"/>
    </row>
    <row r="913" ht="15.75" customHeight="1">
      <c r="A913" s="113"/>
      <c r="B913" s="113"/>
      <c r="C913" s="113"/>
      <c r="D913" s="113"/>
      <c r="E913" s="113"/>
      <c r="F913" s="113"/>
      <c r="G913" s="113"/>
      <c r="H913" s="113"/>
      <c r="I913" s="113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  <c r="AC913" s="113"/>
      <c r="AD913" s="113"/>
      <c r="AE913" s="113"/>
    </row>
    <row r="914" ht="15.75" customHeight="1">
      <c r="A914" s="113"/>
      <c r="B914" s="113"/>
      <c r="C914" s="113"/>
      <c r="D914" s="113"/>
      <c r="E914" s="113"/>
      <c r="F914" s="113"/>
      <c r="G914" s="113"/>
      <c r="H914" s="113"/>
      <c r="I914" s="113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  <c r="AC914" s="113"/>
      <c r="AD914" s="113"/>
      <c r="AE914" s="113"/>
    </row>
    <row r="915" ht="15.75" customHeight="1">
      <c r="A915" s="113"/>
      <c r="B915" s="113"/>
      <c r="C915" s="113"/>
      <c r="D915" s="113"/>
      <c r="E915" s="113"/>
      <c r="F915" s="113"/>
      <c r="G915" s="113"/>
      <c r="H915" s="113"/>
      <c r="I915" s="113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  <c r="AC915" s="113"/>
      <c r="AD915" s="113"/>
      <c r="AE915" s="113"/>
    </row>
    <row r="916" ht="15.75" customHeight="1">
      <c r="A916" s="113"/>
      <c r="B916" s="113"/>
      <c r="C916" s="113"/>
      <c r="D916" s="113"/>
      <c r="E916" s="113"/>
      <c r="F916" s="113"/>
      <c r="G916" s="113"/>
      <c r="H916" s="113"/>
      <c r="I916" s="113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  <c r="AC916" s="113"/>
      <c r="AD916" s="113"/>
      <c r="AE916" s="113"/>
    </row>
    <row r="917" ht="15.75" customHeight="1">
      <c r="A917" s="113"/>
      <c r="B917" s="113"/>
      <c r="C917" s="113"/>
      <c r="D917" s="113"/>
      <c r="E917" s="113"/>
      <c r="F917" s="113"/>
      <c r="G917" s="113"/>
      <c r="H917" s="113"/>
      <c r="I917" s="113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  <c r="AC917" s="113"/>
      <c r="AD917" s="113"/>
      <c r="AE917" s="113"/>
    </row>
    <row r="918" ht="15.75" customHeight="1">
      <c r="A918" s="113"/>
      <c r="B918" s="113"/>
      <c r="C918" s="113"/>
      <c r="D918" s="113"/>
      <c r="E918" s="113"/>
      <c r="F918" s="113"/>
      <c r="G918" s="113"/>
      <c r="H918" s="113"/>
      <c r="I918" s="113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  <c r="AC918" s="113"/>
      <c r="AD918" s="113"/>
      <c r="AE918" s="113"/>
    </row>
    <row r="919" ht="15.75" customHeight="1">
      <c r="A919" s="113"/>
      <c r="B919" s="113"/>
      <c r="C919" s="113"/>
      <c r="D919" s="113"/>
      <c r="E919" s="113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  <c r="AC919" s="113"/>
      <c r="AD919" s="113"/>
      <c r="AE919" s="113"/>
    </row>
    <row r="920" ht="15.75" customHeight="1">
      <c r="A920" s="113"/>
      <c r="B920" s="113"/>
      <c r="C920" s="113"/>
      <c r="D920" s="113"/>
      <c r="E920" s="113"/>
      <c r="F920" s="113"/>
      <c r="G920" s="11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  <c r="AC920" s="113"/>
      <c r="AD920" s="113"/>
      <c r="AE920" s="113"/>
    </row>
    <row r="921" ht="15.75" customHeight="1">
      <c r="A921" s="113"/>
      <c r="B921" s="113"/>
      <c r="C921" s="113"/>
      <c r="D921" s="113"/>
      <c r="E921" s="113"/>
      <c r="F921" s="113"/>
      <c r="G921" s="113"/>
      <c r="H921" s="113"/>
      <c r="I921" s="113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  <c r="AC921" s="113"/>
      <c r="AD921" s="113"/>
      <c r="AE921" s="113"/>
    </row>
    <row r="922" ht="15.75" customHeight="1">
      <c r="A922" s="113"/>
      <c r="B922" s="113"/>
      <c r="C922" s="113"/>
      <c r="D922" s="113"/>
      <c r="E922" s="113"/>
      <c r="F922" s="113"/>
      <c r="G922" s="113"/>
      <c r="H922" s="113"/>
      <c r="I922" s="113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  <c r="AC922" s="113"/>
      <c r="AD922" s="113"/>
      <c r="AE922" s="113"/>
    </row>
    <row r="923" ht="15.75" customHeight="1">
      <c r="A923" s="113"/>
      <c r="B923" s="113"/>
      <c r="C923" s="113"/>
      <c r="D923" s="113"/>
      <c r="E923" s="113"/>
      <c r="F923" s="113"/>
      <c r="G923" s="113"/>
      <c r="H923" s="113"/>
      <c r="I923" s="113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  <c r="AC923" s="113"/>
      <c r="AD923" s="113"/>
      <c r="AE923" s="113"/>
    </row>
    <row r="924" ht="15.75" customHeight="1">
      <c r="A924" s="113"/>
      <c r="B924" s="113"/>
      <c r="C924" s="113"/>
      <c r="D924" s="113"/>
      <c r="E924" s="113"/>
      <c r="F924" s="113"/>
      <c r="G924" s="113"/>
      <c r="H924" s="113"/>
      <c r="I924" s="113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  <c r="AC924" s="113"/>
      <c r="AD924" s="113"/>
      <c r="AE924" s="113"/>
    </row>
    <row r="925" ht="15.75" customHeight="1">
      <c r="A925" s="113"/>
      <c r="B925" s="113"/>
      <c r="C925" s="113"/>
      <c r="D925" s="113"/>
      <c r="E925" s="113"/>
      <c r="F925" s="113"/>
      <c r="G925" s="113"/>
      <c r="H925" s="113"/>
      <c r="I925" s="113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  <c r="AC925" s="113"/>
      <c r="AD925" s="113"/>
      <c r="AE925" s="113"/>
    </row>
    <row r="926" ht="15.75" customHeight="1">
      <c r="A926" s="113"/>
      <c r="B926" s="113"/>
      <c r="C926" s="113"/>
      <c r="D926" s="113"/>
      <c r="E926" s="113"/>
      <c r="F926" s="113"/>
      <c r="G926" s="113"/>
      <c r="H926" s="113"/>
      <c r="I926" s="113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  <c r="AC926" s="113"/>
      <c r="AD926" s="113"/>
      <c r="AE926" s="113"/>
    </row>
    <row r="927" ht="15.75" customHeight="1">
      <c r="A927" s="113"/>
      <c r="B927" s="113"/>
      <c r="C927" s="113"/>
      <c r="D927" s="113"/>
      <c r="E927" s="113"/>
      <c r="F927" s="113"/>
      <c r="G927" s="113"/>
      <c r="H927" s="113"/>
      <c r="I927" s="113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  <c r="AC927" s="113"/>
      <c r="AD927" s="113"/>
      <c r="AE927" s="113"/>
    </row>
    <row r="928" ht="15.75" customHeight="1">
      <c r="A928" s="113"/>
      <c r="B928" s="113"/>
      <c r="C928" s="113"/>
      <c r="D928" s="113"/>
      <c r="E928" s="113"/>
      <c r="F928" s="113"/>
      <c r="G928" s="113"/>
      <c r="H928" s="113"/>
      <c r="I928" s="113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  <c r="AC928" s="113"/>
      <c r="AD928" s="113"/>
      <c r="AE928" s="113"/>
    </row>
    <row r="929" ht="15.75" customHeight="1">
      <c r="A929" s="113"/>
      <c r="B929" s="113"/>
      <c r="C929" s="113"/>
      <c r="D929" s="113"/>
      <c r="E929" s="113"/>
      <c r="F929" s="113"/>
      <c r="G929" s="113"/>
      <c r="H929" s="113"/>
      <c r="I929" s="113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  <c r="AC929" s="113"/>
      <c r="AD929" s="113"/>
      <c r="AE929" s="113"/>
    </row>
    <row r="930" ht="15.75" customHeight="1">
      <c r="A930" s="113"/>
      <c r="B930" s="113"/>
      <c r="C930" s="113"/>
      <c r="D930" s="113"/>
      <c r="E930" s="113"/>
      <c r="F930" s="113"/>
      <c r="G930" s="113"/>
      <c r="H930" s="113"/>
      <c r="I930" s="113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  <c r="AC930" s="113"/>
      <c r="AD930" s="113"/>
      <c r="AE930" s="113"/>
    </row>
    <row r="931" ht="15.75" customHeight="1">
      <c r="A931" s="113"/>
      <c r="B931" s="113"/>
      <c r="C931" s="113"/>
      <c r="D931" s="113"/>
      <c r="E931" s="113"/>
      <c r="F931" s="113"/>
      <c r="G931" s="113"/>
      <c r="H931" s="113"/>
      <c r="I931" s="113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  <c r="AC931" s="113"/>
      <c r="AD931" s="113"/>
      <c r="AE931" s="113"/>
    </row>
    <row r="932" ht="15.75" customHeight="1">
      <c r="A932" s="113"/>
      <c r="B932" s="113"/>
      <c r="C932" s="113"/>
      <c r="D932" s="113"/>
      <c r="E932" s="113"/>
      <c r="F932" s="113"/>
      <c r="G932" s="113"/>
      <c r="H932" s="113"/>
      <c r="I932" s="113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  <c r="AC932" s="113"/>
      <c r="AD932" s="113"/>
      <c r="AE932" s="113"/>
    </row>
    <row r="933" ht="15.75" customHeight="1">
      <c r="A933" s="113"/>
      <c r="B933" s="113"/>
      <c r="C933" s="113"/>
      <c r="D933" s="113"/>
      <c r="E933" s="113"/>
      <c r="F933" s="113"/>
      <c r="G933" s="113"/>
      <c r="H933" s="113"/>
      <c r="I933" s="113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  <c r="AC933" s="113"/>
      <c r="AD933" s="113"/>
      <c r="AE933" s="113"/>
    </row>
    <row r="934" ht="15.75" customHeight="1">
      <c r="A934" s="113"/>
      <c r="B934" s="113"/>
      <c r="C934" s="113"/>
      <c r="D934" s="113"/>
      <c r="E934" s="113"/>
      <c r="F934" s="113"/>
      <c r="G934" s="113"/>
      <c r="H934" s="113"/>
      <c r="I934" s="113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  <c r="AC934" s="113"/>
      <c r="AD934" s="113"/>
      <c r="AE934" s="113"/>
    </row>
    <row r="935" ht="15.75" customHeight="1">
      <c r="A935" s="113"/>
      <c r="B935" s="113"/>
      <c r="C935" s="113"/>
      <c r="D935" s="113"/>
      <c r="E935" s="113"/>
      <c r="F935" s="113"/>
      <c r="G935" s="113"/>
      <c r="H935" s="113"/>
      <c r="I935" s="113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  <c r="AC935" s="113"/>
      <c r="AD935" s="113"/>
      <c r="AE935" s="113"/>
    </row>
    <row r="936" ht="15.75" customHeight="1">
      <c r="A936" s="113"/>
      <c r="B936" s="113"/>
      <c r="C936" s="113"/>
      <c r="D936" s="113"/>
      <c r="E936" s="113"/>
      <c r="F936" s="113"/>
      <c r="G936" s="113"/>
      <c r="H936" s="113"/>
      <c r="I936" s="113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  <c r="AC936" s="113"/>
      <c r="AD936" s="113"/>
      <c r="AE936" s="113"/>
    </row>
    <row r="937" ht="15.75" customHeight="1">
      <c r="A937" s="113"/>
      <c r="B937" s="113"/>
      <c r="C937" s="113"/>
      <c r="D937" s="113"/>
      <c r="E937" s="113"/>
      <c r="F937" s="113"/>
      <c r="G937" s="113"/>
      <c r="H937" s="113"/>
      <c r="I937" s="113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  <c r="AC937" s="113"/>
      <c r="AD937" s="113"/>
      <c r="AE937" s="113"/>
    </row>
    <row r="938" ht="15.75" customHeight="1">
      <c r="A938" s="113"/>
      <c r="B938" s="113"/>
      <c r="C938" s="113"/>
      <c r="D938" s="113"/>
      <c r="E938" s="113"/>
      <c r="F938" s="113"/>
      <c r="G938" s="11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  <c r="AC938" s="113"/>
      <c r="AD938" s="113"/>
      <c r="AE938" s="113"/>
    </row>
    <row r="939" ht="15.75" customHeight="1">
      <c r="A939" s="113"/>
      <c r="B939" s="113"/>
      <c r="C939" s="113"/>
      <c r="D939" s="113"/>
      <c r="E939" s="113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  <c r="AC939" s="113"/>
      <c r="AD939" s="113"/>
      <c r="AE939" s="113"/>
    </row>
    <row r="940" ht="15.75" customHeight="1">
      <c r="A940" s="113"/>
      <c r="B940" s="113"/>
      <c r="C940" s="113"/>
      <c r="D940" s="113"/>
      <c r="E940" s="113"/>
      <c r="F940" s="113"/>
      <c r="G940" s="113"/>
      <c r="H940" s="113"/>
      <c r="I940" s="113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  <c r="AC940" s="113"/>
      <c r="AD940" s="113"/>
      <c r="AE940" s="113"/>
    </row>
    <row r="941" ht="15.75" customHeight="1">
      <c r="A941" s="113"/>
      <c r="B941" s="113"/>
      <c r="C941" s="113"/>
      <c r="D941" s="113"/>
      <c r="E941" s="113"/>
      <c r="F941" s="113"/>
      <c r="G941" s="113"/>
      <c r="H941" s="113"/>
      <c r="I941" s="113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  <c r="AC941" s="113"/>
      <c r="AD941" s="113"/>
      <c r="AE941" s="113"/>
    </row>
    <row r="942" ht="15.75" customHeight="1">
      <c r="A942" s="113"/>
      <c r="B942" s="113"/>
      <c r="C942" s="113"/>
      <c r="D942" s="113"/>
      <c r="E942" s="113"/>
      <c r="F942" s="113"/>
      <c r="G942" s="113"/>
      <c r="H942" s="113"/>
      <c r="I942" s="113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  <c r="AC942" s="113"/>
      <c r="AD942" s="113"/>
      <c r="AE942" s="113"/>
    </row>
    <row r="943" ht="15.75" customHeight="1">
      <c r="A943" s="113"/>
      <c r="B943" s="113"/>
      <c r="C943" s="113"/>
      <c r="D943" s="113"/>
      <c r="E943" s="113"/>
      <c r="F943" s="113"/>
      <c r="G943" s="113"/>
      <c r="H943" s="113"/>
      <c r="I943" s="113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  <c r="AC943" s="113"/>
      <c r="AD943" s="113"/>
      <c r="AE943" s="113"/>
    </row>
    <row r="944" ht="15.75" customHeight="1">
      <c r="A944" s="113"/>
      <c r="B944" s="113"/>
      <c r="C944" s="113"/>
      <c r="D944" s="113"/>
      <c r="E944" s="113"/>
      <c r="F944" s="113"/>
      <c r="G944" s="113"/>
      <c r="H944" s="113"/>
      <c r="I944" s="113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  <c r="AC944" s="113"/>
      <c r="AD944" s="113"/>
      <c r="AE944" s="113"/>
    </row>
    <row r="945" ht="15.75" customHeight="1">
      <c r="A945" s="113"/>
      <c r="B945" s="113"/>
      <c r="C945" s="113"/>
      <c r="D945" s="113"/>
      <c r="E945" s="113"/>
      <c r="F945" s="113"/>
      <c r="G945" s="113"/>
      <c r="H945" s="113"/>
      <c r="I945" s="113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  <c r="AC945" s="113"/>
      <c r="AD945" s="113"/>
      <c r="AE945" s="113"/>
    </row>
    <row r="946" ht="15.75" customHeight="1">
      <c r="A946" s="113"/>
      <c r="B946" s="113"/>
      <c r="C946" s="113"/>
      <c r="D946" s="113"/>
      <c r="E946" s="113"/>
      <c r="F946" s="113"/>
      <c r="G946" s="113"/>
      <c r="H946" s="113"/>
      <c r="I946" s="113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  <c r="AC946" s="113"/>
      <c r="AD946" s="113"/>
      <c r="AE946" s="113"/>
    </row>
    <row r="947" ht="15.75" customHeight="1">
      <c r="A947" s="113"/>
      <c r="B947" s="113"/>
      <c r="C947" s="113"/>
      <c r="D947" s="113"/>
      <c r="E947" s="113"/>
      <c r="F947" s="113"/>
      <c r="G947" s="113"/>
      <c r="H947" s="113"/>
      <c r="I947" s="113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  <c r="AC947" s="113"/>
      <c r="AD947" s="113"/>
      <c r="AE947" s="113"/>
    </row>
    <row r="948" ht="15.75" customHeight="1">
      <c r="A948" s="113"/>
      <c r="B948" s="113"/>
      <c r="C948" s="113"/>
      <c r="D948" s="113"/>
      <c r="E948" s="113"/>
      <c r="F948" s="113"/>
      <c r="G948" s="113"/>
      <c r="H948" s="113"/>
      <c r="I948" s="113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  <c r="AC948" s="113"/>
      <c r="AD948" s="113"/>
      <c r="AE948" s="113"/>
    </row>
    <row r="949" ht="15.75" customHeight="1">
      <c r="A949" s="113"/>
      <c r="B949" s="113"/>
      <c r="C949" s="113"/>
      <c r="D949" s="113"/>
      <c r="E949" s="113"/>
      <c r="F949" s="113"/>
      <c r="G949" s="113"/>
      <c r="H949" s="113"/>
      <c r="I949" s="113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  <c r="AC949" s="113"/>
      <c r="AD949" s="113"/>
      <c r="AE949" s="113"/>
    </row>
    <row r="950" ht="15.75" customHeight="1">
      <c r="A950" s="113"/>
      <c r="B950" s="113"/>
      <c r="C950" s="113"/>
      <c r="D950" s="113"/>
      <c r="E950" s="113"/>
      <c r="F950" s="113"/>
      <c r="G950" s="113"/>
      <c r="H950" s="113"/>
      <c r="I950" s="113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  <c r="AC950" s="113"/>
      <c r="AD950" s="113"/>
      <c r="AE950" s="113"/>
    </row>
    <row r="951" ht="15.75" customHeight="1">
      <c r="A951" s="113"/>
      <c r="B951" s="113"/>
      <c r="C951" s="113"/>
      <c r="D951" s="113"/>
      <c r="E951" s="113"/>
      <c r="F951" s="113"/>
      <c r="G951" s="113"/>
      <c r="H951" s="113"/>
      <c r="I951" s="113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  <c r="AC951" s="113"/>
      <c r="AD951" s="113"/>
      <c r="AE951" s="113"/>
    </row>
    <row r="952" ht="15.75" customHeight="1">
      <c r="A952" s="113"/>
      <c r="B952" s="113"/>
      <c r="C952" s="113"/>
      <c r="D952" s="113"/>
      <c r="E952" s="113"/>
      <c r="F952" s="113"/>
      <c r="G952" s="113"/>
      <c r="H952" s="113"/>
      <c r="I952" s="113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  <c r="AC952" s="113"/>
      <c r="AD952" s="113"/>
      <c r="AE952" s="113"/>
    </row>
    <row r="953" ht="15.75" customHeight="1">
      <c r="A953" s="113"/>
      <c r="B953" s="113"/>
      <c r="C953" s="113"/>
      <c r="D953" s="113"/>
      <c r="E953" s="113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  <c r="AC953" s="113"/>
      <c r="AD953" s="113"/>
      <c r="AE953" s="113"/>
    </row>
    <row r="954" ht="15.75" customHeight="1">
      <c r="A954" s="113"/>
      <c r="B954" s="113"/>
      <c r="C954" s="113"/>
      <c r="D954" s="113"/>
      <c r="E954" s="113"/>
      <c r="F954" s="113"/>
      <c r="G954" s="113"/>
      <c r="H954" s="113"/>
      <c r="I954" s="113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  <c r="AC954" s="113"/>
      <c r="AD954" s="113"/>
      <c r="AE954" s="113"/>
    </row>
    <row r="955" ht="15.75" customHeight="1">
      <c r="A955" s="113"/>
      <c r="B955" s="113"/>
      <c r="C955" s="113"/>
      <c r="D955" s="113"/>
      <c r="E955" s="113"/>
      <c r="F955" s="113"/>
      <c r="G955" s="113"/>
      <c r="H955" s="113"/>
      <c r="I955" s="113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  <c r="AC955" s="113"/>
      <c r="AD955" s="113"/>
      <c r="AE955" s="113"/>
    </row>
    <row r="956" ht="15.75" customHeight="1">
      <c r="A956" s="113"/>
      <c r="B956" s="113"/>
      <c r="C956" s="113"/>
      <c r="D956" s="113"/>
      <c r="E956" s="113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  <c r="AC956" s="113"/>
      <c r="AD956" s="113"/>
      <c r="AE956" s="113"/>
    </row>
    <row r="957" ht="15.75" customHeight="1">
      <c r="A957" s="113"/>
      <c r="B957" s="113"/>
      <c r="C957" s="113"/>
      <c r="D957" s="113"/>
      <c r="E957" s="113"/>
      <c r="F957" s="113"/>
      <c r="G957" s="11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  <c r="AC957" s="113"/>
      <c r="AD957" s="113"/>
      <c r="AE957" s="113"/>
    </row>
    <row r="958" ht="15.75" customHeight="1">
      <c r="A958" s="113"/>
      <c r="B958" s="113"/>
      <c r="C958" s="113"/>
      <c r="D958" s="113"/>
      <c r="E958" s="113"/>
      <c r="F958" s="113"/>
      <c r="G958" s="113"/>
      <c r="H958" s="113"/>
      <c r="I958" s="113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  <c r="AC958" s="113"/>
      <c r="AD958" s="113"/>
      <c r="AE958" s="113"/>
    </row>
    <row r="959" ht="15.75" customHeight="1">
      <c r="A959" s="113"/>
      <c r="B959" s="113"/>
      <c r="C959" s="113"/>
      <c r="D959" s="113"/>
      <c r="E959" s="113"/>
      <c r="F959" s="113"/>
      <c r="G959" s="113"/>
      <c r="H959" s="113"/>
      <c r="I959" s="113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  <c r="AC959" s="113"/>
      <c r="AD959" s="113"/>
      <c r="AE959" s="113"/>
    </row>
    <row r="960" ht="15.75" customHeight="1">
      <c r="A960" s="113"/>
      <c r="B960" s="113"/>
      <c r="C960" s="113"/>
      <c r="D960" s="113"/>
      <c r="E960" s="113"/>
      <c r="F960" s="113"/>
      <c r="G960" s="113"/>
      <c r="H960" s="113"/>
      <c r="I960" s="113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  <c r="AC960" s="113"/>
      <c r="AD960" s="113"/>
      <c r="AE960" s="113"/>
    </row>
    <row r="961" ht="15.75" customHeight="1">
      <c r="A961" s="113"/>
      <c r="B961" s="113"/>
      <c r="C961" s="113"/>
      <c r="D961" s="113"/>
      <c r="E961" s="113"/>
      <c r="F961" s="113"/>
      <c r="G961" s="113"/>
      <c r="H961" s="113"/>
      <c r="I961" s="113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  <c r="AC961" s="113"/>
      <c r="AD961" s="113"/>
      <c r="AE961" s="113"/>
    </row>
    <row r="962" ht="15.75" customHeight="1">
      <c r="A962" s="113"/>
      <c r="B962" s="113"/>
      <c r="C962" s="113"/>
      <c r="D962" s="113"/>
      <c r="E962" s="113"/>
      <c r="F962" s="113"/>
      <c r="G962" s="113"/>
      <c r="H962" s="113"/>
      <c r="I962" s="113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  <c r="AC962" s="113"/>
      <c r="AD962" s="113"/>
      <c r="AE962" s="113"/>
    </row>
    <row r="963" ht="15.75" customHeight="1">
      <c r="A963" s="113"/>
      <c r="B963" s="113"/>
      <c r="C963" s="113"/>
      <c r="D963" s="113"/>
      <c r="E963" s="113"/>
      <c r="F963" s="113"/>
      <c r="G963" s="113"/>
      <c r="H963" s="113"/>
      <c r="I963" s="113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  <c r="AC963" s="113"/>
      <c r="AD963" s="113"/>
      <c r="AE963" s="113"/>
    </row>
    <row r="964" ht="15.75" customHeight="1">
      <c r="A964" s="113"/>
      <c r="B964" s="113"/>
      <c r="C964" s="113"/>
      <c r="D964" s="113"/>
      <c r="E964" s="113"/>
      <c r="F964" s="113"/>
      <c r="G964" s="113"/>
      <c r="H964" s="113"/>
      <c r="I964" s="113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  <c r="AC964" s="113"/>
      <c r="AD964" s="113"/>
      <c r="AE964" s="113"/>
    </row>
    <row r="965" ht="15.75" customHeight="1">
      <c r="A965" s="113"/>
      <c r="B965" s="113"/>
      <c r="C965" s="113"/>
      <c r="D965" s="113"/>
      <c r="E965" s="113"/>
      <c r="F965" s="113"/>
      <c r="G965" s="113"/>
      <c r="H965" s="113"/>
      <c r="I965" s="113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  <c r="AC965" s="113"/>
      <c r="AD965" s="113"/>
      <c r="AE965" s="113"/>
    </row>
    <row r="966" ht="15.75" customHeight="1">
      <c r="A966" s="113"/>
      <c r="B966" s="113"/>
      <c r="C966" s="113"/>
      <c r="D966" s="113"/>
      <c r="E966" s="113"/>
      <c r="F966" s="113"/>
      <c r="G966" s="113"/>
      <c r="H966" s="113"/>
      <c r="I966" s="113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  <c r="AC966" s="113"/>
      <c r="AD966" s="113"/>
      <c r="AE966" s="113"/>
    </row>
    <row r="967" ht="15.75" customHeight="1">
      <c r="A967" s="113"/>
      <c r="B967" s="113"/>
      <c r="C967" s="113"/>
      <c r="D967" s="113"/>
      <c r="E967" s="113"/>
      <c r="F967" s="113"/>
      <c r="G967" s="113"/>
      <c r="H967" s="113"/>
      <c r="I967" s="113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  <c r="AC967" s="113"/>
      <c r="AD967" s="113"/>
      <c r="AE967" s="113"/>
    </row>
    <row r="968" ht="15.75" customHeight="1">
      <c r="A968" s="113"/>
      <c r="B968" s="113"/>
      <c r="C968" s="113"/>
      <c r="D968" s="113"/>
      <c r="E968" s="113"/>
      <c r="F968" s="113"/>
      <c r="G968" s="113"/>
      <c r="H968" s="113"/>
      <c r="I968" s="113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  <c r="AC968" s="113"/>
      <c r="AD968" s="113"/>
      <c r="AE968" s="113"/>
    </row>
    <row r="969" ht="15.75" customHeight="1">
      <c r="A969" s="113"/>
      <c r="B969" s="113"/>
      <c r="C969" s="113"/>
      <c r="D969" s="113"/>
      <c r="E969" s="113"/>
      <c r="F969" s="113"/>
      <c r="G969" s="113"/>
      <c r="H969" s="113"/>
      <c r="I969" s="113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  <c r="AC969" s="113"/>
      <c r="AD969" s="113"/>
      <c r="AE969" s="113"/>
    </row>
    <row r="970" ht="15.75" customHeight="1">
      <c r="A970" s="113"/>
      <c r="B970" s="113"/>
      <c r="C970" s="113"/>
      <c r="D970" s="113"/>
      <c r="E970" s="113"/>
      <c r="F970" s="113"/>
      <c r="G970" s="113"/>
      <c r="H970" s="113"/>
      <c r="I970" s="113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  <c r="AC970" s="113"/>
      <c r="AD970" s="113"/>
      <c r="AE970" s="113"/>
    </row>
    <row r="971" ht="15.75" customHeight="1">
      <c r="A971" s="113"/>
      <c r="B971" s="113"/>
      <c r="C971" s="113"/>
      <c r="D971" s="113"/>
      <c r="E971" s="113"/>
      <c r="F971" s="113"/>
      <c r="G971" s="113"/>
      <c r="H971" s="113"/>
      <c r="I971" s="113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  <c r="AC971" s="113"/>
      <c r="AD971" s="113"/>
      <c r="AE971" s="113"/>
    </row>
    <row r="972" ht="15.75" customHeight="1">
      <c r="A972" s="113"/>
      <c r="B972" s="113"/>
      <c r="C972" s="113"/>
      <c r="D972" s="113"/>
      <c r="E972" s="113"/>
      <c r="F972" s="113"/>
      <c r="G972" s="113"/>
      <c r="H972" s="113"/>
      <c r="I972" s="113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  <c r="AC972" s="113"/>
      <c r="AD972" s="113"/>
      <c r="AE972" s="113"/>
    </row>
    <row r="973" ht="15.75" customHeight="1">
      <c r="A973" s="113"/>
      <c r="B973" s="113"/>
      <c r="C973" s="113"/>
      <c r="D973" s="113"/>
      <c r="E973" s="11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  <c r="AC973" s="113"/>
      <c r="AD973" s="113"/>
      <c r="AE973" s="113"/>
    </row>
    <row r="974" ht="15.75" customHeight="1">
      <c r="A974" s="113"/>
      <c r="B974" s="113"/>
      <c r="C974" s="113"/>
      <c r="D974" s="113"/>
      <c r="E974" s="113"/>
      <c r="F974" s="113"/>
      <c r="G974" s="113"/>
      <c r="H974" s="113"/>
      <c r="I974" s="113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  <c r="AC974" s="113"/>
      <c r="AD974" s="113"/>
      <c r="AE974" s="113"/>
    </row>
    <row r="975" ht="15.75" customHeight="1">
      <c r="A975" s="113"/>
      <c r="B975" s="113"/>
      <c r="C975" s="113"/>
      <c r="D975" s="113"/>
      <c r="E975" s="113"/>
      <c r="F975" s="113"/>
      <c r="G975" s="113"/>
      <c r="H975" s="113"/>
      <c r="I975" s="113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  <c r="AC975" s="113"/>
      <c r="AD975" s="113"/>
      <c r="AE975" s="113"/>
    </row>
    <row r="976" ht="15.75" customHeight="1">
      <c r="A976" s="113"/>
      <c r="B976" s="113"/>
      <c r="C976" s="113"/>
      <c r="D976" s="113"/>
      <c r="E976" s="113"/>
      <c r="F976" s="113"/>
      <c r="G976" s="113"/>
      <c r="H976" s="113"/>
      <c r="I976" s="113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  <c r="AC976" s="113"/>
      <c r="AD976" s="113"/>
      <c r="AE976" s="113"/>
    </row>
    <row r="977" ht="15.75" customHeight="1">
      <c r="A977" s="113"/>
      <c r="B977" s="113"/>
      <c r="C977" s="113"/>
      <c r="D977" s="113"/>
      <c r="E977" s="113"/>
      <c r="F977" s="113"/>
      <c r="G977" s="113"/>
      <c r="H977" s="113"/>
      <c r="I977" s="113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  <c r="AC977" s="113"/>
      <c r="AD977" s="113"/>
      <c r="AE977" s="113"/>
    </row>
    <row r="978" ht="15.75" customHeight="1">
      <c r="A978" s="113"/>
      <c r="B978" s="113"/>
      <c r="C978" s="113"/>
      <c r="D978" s="113"/>
      <c r="E978" s="113"/>
      <c r="F978" s="113"/>
      <c r="G978" s="113"/>
      <c r="H978" s="113"/>
      <c r="I978" s="113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  <c r="AC978" s="113"/>
      <c r="AD978" s="113"/>
      <c r="AE978" s="113"/>
    </row>
    <row r="979" ht="15.75" customHeight="1">
      <c r="A979" s="113"/>
      <c r="B979" s="113"/>
      <c r="C979" s="113"/>
      <c r="D979" s="113"/>
      <c r="E979" s="113"/>
      <c r="F979" s="113"/>
      <c r="G979" s="113"/>
      <c r="H979" s="113"/>
      <c r="I979" s="113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  <c r="AC979" s="113"/>
      <c r="AD979" s="113"/>
      <c r="AE979" s="113"/>
    </row>
    <row r="980" ht="15.75" customHeight="1">
      <c r="A980" s="113"/>
      <c r="B980" s="113"/>
      <c r="C980" s="113"/>
      <c r="D980" s="113"/>
      <c r="E980" s="113"/>
      <c r="F980" s="113"/>
      <c r="G980" s="113"/>
      <c r="H980" s="113"/>
      <c r="I980" s="113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  <c r="AC980" s="113"/>
      <c r="AD980" s="113"/>
      <c r="AE980" s="113"/>
    </row>
    <row r="981" ht="15.75" customHeight="1">
      <c r="A981" s="113"/>
      <c r="B981" s="113"/>
      <c r="C981" s="113"/>
      <c r="D981" s="113"/>
      <c r="E981" s="113"/>
      <c r="F981" s="113"/>
      <c r="G981" s="113"/>
      <c r="H981" s="113"/>
      <c r="I981" s="113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  <c r="AC981" s="113"/>
      <c r="AD981" s="113"/>
      <c r="AE981" s="113"/>
    </row>
    <row r="982" ht="15.75" customHeight="1">
      <c r="A982" s="113"/>
      <c r="B982" s="113"/>
      <c r="C982" s="113"/>
      <c r="D982" s="113"/>
      <c r="E982" s="113"/>
      <c r="F982" s="113"/>
      <c r="G982" s="113"/>
      <c r="H982" s="113"/>
      <c r="I982" s="113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  <c r="AC982" s="113"/>
      <c r="AD982" s="113"/>
      <c r="AE982" s="113"/>
    </row>
    <row r="983" ht="15.75" customHeight="1">
      <c r="A983" s="113"/>
      <c r="B983" s="113"/>
      <c r="C983" s="113"/>
      <c r="D983" s="113"/>
      <c r="E983" s="113"/>
      <c r="F983" s="113"/>
      <c r="G983" s="113"/>
      <c r="H983" s="113"/>
      <c r="I983" s="113"/>
      <c r="J983" s="113"/>
      <c r="K983" s="113"/>
      <c r="L983" s="113"/>
      <c r="M983" s="113"/>
      <c r="N983" s="113"/>
      <c r="O983" s="113"/>
      <c r="P983" s="113"/>
      <c r="Q983" s="113"/>
      <c r="R983" s="113"/>
      <c r="S983" s="113"/>
      <c r="T983" s="113"/>
      <c r="U983" s="113"/>
      <c r="V983" s="113"/>
      <c r="W983" s="113"/>
      <c r="X983" s="113"/>
      <c r="Y983" s="113"/>
      <c r="Z983" s="113"/>
      <c r="AA983" s="113"/>
      <c r="AB983" s="113"/>
      <c r="AC983" s="113"/>
      <c r="AD983" s="113"/>
      <c r="AE983" s="113"/>
    </row>
    <row r="984" ht="15.75" customHeight="1">
      <c r="A984" s="113"/>
      <c r="B984" s="113"/>
      <c r="C984" s="113"/>
      <c r="D984" s="113"/>
      <c r="E984" s="113"/>
      <c r="F984" s="113"/>
      <c r="G984" s="113"/>
      <c r="H984" s="113"/>
      <c r="I984" s="113"/>
      <c r="J984" s="113"/>
      <c r="K984" s="113"/>
      <c r="L984" s="113"/>
      <c r="M984" s="113"/>
      <c r="N984" s="113"/>
      <c r="O984" s="113"/>
      <c r="P984" s="113"/>
      <c r="Q984" s="113"/>
      <c r="R984" s="113"/>
      <c r="S984" s="113"/>
      <c r="T984" s="113"/>
      <c r="U984" s="113"/>
      <c r="V984" s="113"/>
      <c r="W984" s="113"/>
      <c r="X984" s="113"/>
      <c r="Y984" s="113"/>
      <c r="Z984" s="113"/>
      <c r="AA984" s="113"/>
      <c r="AB984" s="113"/>
      <c r="AC984" s="113"/>
      <c r="AD984" s="113"/>
      <c r="AE984" s="113"/>
    </row>
    <row r="985" ht="15.75" customHeight="1">
      <c r="A985" s="113"/>
      <c r="B985" s="113"/>
      <c r="C985" s="113"/>
      <c r="D985" s="113"/>
      <c r="E985" s="113"/>
      <c r="F985" s="113"/>
      <c r="G985" s="113"/>
      <c r="H985" s="113"/>
      <c r="I985" s="113"/>
      <c r="J985" s="113"/>
      <c r="K985" s="113"/>
      <c r="L985" s="113"/>
      <c r="M985" s="113"/>
      <c r="N985" s="113"/>
      <c r="O985" s="113"/>
      <c r="P985" s="113"/>
      <c r="Q985" s="113"/>
      <c r="R985" s="113"/>
      <c r="S985" s="113"/>
      <c r="T985" s="113"/>
      <c r="U985" s="113"/>
      <c r="V985" s="113"/>
      <c r="W985" s="113"/>
      <c r="X985" s="113"/>
      <c r="Y985" s="113"/>
      <c r="Z985" s="113"/>
      <c r="AA985" s="113"/>
      <c r="AB985" s="113"/>
      <c r="AC985" s="113"/>
      <c r="AD985" s="113"/>
      <c r="AE985" s="113"/>
    </row>
    <row r="986" ht="15.75" customHeight="1">
      <c r="A986" s="113"/>
      <c r="B986" s="113"/>
      <c r="C986" s="113"/>
      <c r="D986" s="113"/>
      <c r="E986" s="113"/>
      <c r="F986" s="113"/>
      <c r="G986" s="113"/>
      <c r="H986" s="113"/>
      <c r="I986" s="113"/>
      <c r="J986" s="113"/>
      <c r="K986" s="113"/>
      <c r="L986" s="113"/>
      <c r="M986" s="113"/>
      <c r="N986" s="113"/>
      <c r="O986" s="113"/>
      <c r="P986" s="113"/>
      <c r="Q986" s="113"/>
      <c r="R986" s="113"/>
      <c r="S986" s="113"/>
      <c r="T986" s="113"/>
      <c r="U986" s="113"/>
      <c r="V986" s="113"/>
      <c r="W986" s="113"/>
      <c r="X986" s="113"/>
      <c r="Y986" s="113"/>
      <c r="Z986" s="113"/>
      <c r="AA986" s="113"/>
      <c r="AB986" s="113"/>
      <c r="AC986" s="113"/>
      <c r="AD986" s="113"/>
      <c r="AE986" s="113"/>
    </row>
    <row r="987" ht="15.75" customHeight="1">
      <c r="A987" s="113"/>
      <c r="B987" s="113"/>
      <c r="C987" s="113"/>
      <c r="D987" s="113"/>
      <c r="E987" s="113"/>
      <c r="F987" s="113"/>
      <c r="G987" s="113"/>
      <c r="H987" s="113"/>
      <c r="I987" s="113"/>
      <c r="J987" s="113"/>
      <c r="K987" s="113"/>
      <c r="L987" s="113"/>
      <c r="M987" s="113"/>
      <c r="N987" s="113"/>
      <c r="O987" s="113"/>
      <c r="P987" s="113"/>
      <c r="Q987" s="113"/>
      <c r="R987" s="113"/>
      <c r="S987" s="113"/>
      <c r="T987" s="113"/>
      <c r="U987" s="113"/>
      <c r="V987" s="113"/>
      <c r="W987" s="113"/>
      <c r="X987" s="113"/>
      <c r="Y987" s="113"/>
      <c r="Z987" s="113"/>
      <c r="AA987" s="113"/>
      <c r="AB987" s="113"/>
      <c r="AC987" s="113"/>
      <c r="AD987" s="113"/>
      <c r="AE987" s="113"/>
    </row>
  </sheetData>
  <mergeCells count="4">
    <mergeCell ref="B1:P1"/>
    <mergeCell ref="Q1:V1"/>
    <mergeCell ref="W1:X1"/>
    <mergeCell ref="D2:H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3D69B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71"/>
    <col customWidth="1" min="2" max="2" width="25.14"/>
    <col customWidth="1" min="3" max="3" width="105.29"/>
    <col customWidth="1" min="4" max="4" width="21.14"/>
    <col customWidth="1" min="5" max="5" width="21.71"/>
    <col customWidth="1" min="6" max="6" width="27.57"/>
    <col customWidth="1" min="7" max="7" width="20.14"/>
    <col customWidth="1" min="8" max="8" width="9.14"/>
    <col customWidth="1" min="9" max="9" width="34.86"/>
    <col customWidth="1" min="10" max="26" width="9.14"/>
  </cols>
  <sheetData>
    <row r="1">
      <c r="A1" s="260" t="s">
        <v>153</v>
      </c>
      <c r="B1" s="261" t="s">
        <v>154</v>
      </c>
      <c r="C1" s="261" t="s">
        <v>155</v>
      </c>
      <c r="D1" s="262" t="s">
        <v>156</v>
      </c>
      <c r="E1" s="263" t="s">
        <v>157</v>
      </c>
      <c r="F1" s="264" t="s">
        <v>158</v>
      </c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</row>
    <row r="2">
      <c r="A2" s="266">
        <v>2023.0</v>
      </c>
      <c r="B2" s="267" t="s">
        <v>159</v>
      </c>
      <c r="C2" s="268" t="s">
        <v>160</v>
      </c>
      <c r="D2" s="269">
        <v>25100.13</v>
      </c>
      <c r="E2" s="270" t="s">
        <v>161</v>
      </c>
      <c r="F2" s="271">
        <v>45287.0</v>
      </c>
      <c r="G2" s="265"/>
      <c r="H2" s="265"/>
      <c r="I2" s="272" t="s">
        <v>162</v>
      </c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</row>
    <row r="3">
      <c r="A3" s="266">
        <v>2023.0</v>
      </c>
      <c r="B3" s="267" t="s">
        <v>163</v>
      </c>
      <c r="C3" s="268" t="s">
        <v>164</v>
      </c>
      <c r="D3" s="273">
        <v>428791.67</v>
      </c>
      <c r="E3" s="274">
        <v>44958.0</v>
      </c>
      <c r="F3" s="275">
        <v>45027.0</v>
      </c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</row>
    <row r="4">
      <c r="A4" s="266">
        <v>2023.0</v>
      </c>
      <c r="B4" s="267" t="s">
        <v>163</v>
      </c>
      <c r="C4" s="268" t="s">
        <v>164</v>
      </c>
      <c r="D4" s="276">
        <v>428791.67</v>
      </c>
      <c r="E4" s="274">
        <v>44927.0</v>
      </c>
      <c r="F4" s="275">
        <v>45044.0</v>
      </c>
      <c r="G4" s="265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</row>
    <row r="5">
      <c r="A5" s="266">
        <v>2023.0</v>
      </c>
      <c r="B5" s="267" t="s">
        <v>163</v>
      </c>
      <c r="C5" s="268" t="s">
        <v>165</v>
      </c>
      <c r="D5" s="276">
        <v>428791.67</v>
      </c>
      <c r="E5" s="274">
        <v>44986.0</v>
      </c>
      <c r="F5" s="275">
        <v>45410.0</v>
      </c>
      <c r="G5" s="265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</row>
    <row r="6">
      <c r="A6" s="266">
        <v>2023.0</v>
      </c>
      <c r="B6" s="267" t="s">
        <v>163</v>
      </c>
      <c r="C6" s="268" t="s">
        <v>164</v>
      </c>
      <c r="D6" s="276">
        <v>428791.67</v>
      </c>
      <c r="E6" s="270" t="s">
        <v>166</v>
      </c>
      <c r="F6" s="275">
        <v>45128.0</v>
      </c>
      <c r="G6" s="265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</row>
    <row r="7">
      <c r="A7" s="266">
        <v>2023.0</v>
      </c>
      <c r="B7" s="267" t="s">
        <v>163</v>
      </c>
      <c r="C7" s="268" t="s">
        <v>165</v>
      </c>
      <c r="D7" s="276">
        <v>428791.66</v>
      </c>
      <c r="E7" s="274">
        <v>45047.0</v>
      </c>
      <c r="F7" s="275">
        <v>45128.0</v>
      </c>
      <c r="G7" s="265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</row>
    <row r="8">
      <c r="A8" s="266">
        <v>2023.0</v>
      </c>
      <c r="B8" s="267" t="s">
        <v>163</v>
      </c>
      <c r="C8" s="268" t="s">
        <v>164</v>
      </c>
      <c r="D8" s="276">
        <v>428791.67</v>
      </c>
      <c r="E8" s="270" t="s">
        <v>167</v>
      </c>
      <c r="F8" s="275">
        <v>45128.0</v>
      </c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</row>
    <row r="9">
      <c r="A9" s="266">
        <v>2023.0</v>
      </c>
      <c r="B9" s="267" t="s">
        <v>163</v>
      </c>
      <c r="C9" s="268" t="s">
        <v>164</v>
      </c>
      <c r="D9" s="276">
        <v>428791.67</v>
      </c>
      <c r="E9" s="274">
        <v>45108.0</v>
      </c>
      <c r="F9" s="275">
        <v>45128.0</v>
      </c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</row>
    <row r="10">
      <c r="A10" s="266">
        <v>2023.0</v>
      </c>
      <c r="B10" s="267" t="s">
        <v>163</v>
      </c>
      <c r="C10" s="268" t="s">
        <v>165</v>
      </c>
      <c r="D10" s="276">
        <v>428791.67</v>
      </c>
      <c r="E10" s="270" t="s">
        <v>168</v>
      </c>
      <c r="F10" s="275">
        <v>45159.0</v>
      </c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</row>
    <row r="11">
      <c r="A11" s="266">
        <v>2023.0</v>
      </c>
      <c r="B11" s="267" t="s">
        <v>163</v>
      </c>
      <c r="C11" s="268" t="s">
        <v>164</v>
      </c>
      <c r="D11" s="276">
        <v>428791.67</v>
      </c>
      <c r="E11" s="274">
        <v>45200.0</v>
      </c>
      <c r="F11" s="275">
        <v>45230.0</v>
      </c>
      <c r="G11" s="265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</row>
    <row r="12">
      <c r="A12" s="266">
        <v>2023.0</v>
      </c>
      <c r="B12" s="267" t="s">
        <v>163</v>
      </c>
      <c r="C12" s="268" t="s">
        <v>165</v>
      </c>
      <c r="D12" s="276">
        <v>428791.67</v>
      </c>
      <c r="E12" s="274">
        <v>45170.0</v>
      </c>
      <c r="F12" s="275">
        <v>45280.0</v>
      </c>
      <c r="G12" s="265"/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</row>
    <row r="13">
      <c r="A13" s="266">
        <v>2023.0</v>
      </c>
      <c r="B13" s="267" t="s">
        <v>163</v>
      </c>
      <c r="C13" s="268" t="s">
        <v>169</v>
      </c>
      <c r="D13" s="276">
        <v>428791.68</v>
      </c>
      <c r="E13" s="270" t="s">
        <v>170</v>
      </c>
      <c r="F13" s="275">
        <v>45288.0</v>
      </c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</row>
    <row r="14">
      <c r="A14" s="266">
        <v>2023.0</v>
      </c>
      <c r="B14" s="267" t="s">
        <v>163</v>
      </c>
      <c r="C14" s="268" t="s">
        <v>169</v>
      </c>
      <c r="D14" s="273">
        <v>428791.67</v>
      </c>
      <c r="E14" s="274">
        <v>45231.0</v>
      </c>
      <c r="F14" s="275">
        <v>45288.0</v>
      </c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</row>
    <row r="15">
      <c r="A15" s="266">
        <v>2023.0</v>
      </c>
      <c r="B15" s="267" t="s">
        <v>163</v>
      </c>
      <c r="C15" s="268" t="s">
        <v>171</v>
      </c>
      <c r="D15" s="276">
        <v>203816.0</v>
      </c>
      <c r="E15" s="277">
        <v>44927.0</v>
      </c>
      <c r="F15" s="275">
        <v>45044.0</v>
      </c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</row>
    <row r="16">
      <c r="A16" s="266">
        <v>2023.0</v>
      </c>
      <c r="B16" s="267" t="s">
        <v>163</v>
      </c>
      <c r="C16" s="268" t="s">
        <v>171</v>
      </c>
      <c r="D16" s="276">
        <v>203816.0</v>
      </c>
      <c r="E16" s="277">
        <v>44958.0</v>
      </c>
      <c r="F16" s="275">
        <v>45044.0</v>
      </c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</row>
    <row r="17">
      <c r="A17" s="266">
        <v>2023.0</v>
      </c>
      <c r="B17" s="267" t="s">
        <v>163</v>
      </c>
      <c r="C17" s="268" t="s">
        <v>171</v>
      </c>
      <c r="D17" s="276">
        <v>138036.48</v>
      </c>
      <c r="E17" s="277">
        <v>44986.0</v>
      </c>
      <c r="F17" s="275">
        <v>45128.0</v>
      </c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</row>
    <row r="18">
      <c r="A18" s="266">
        <v>2023.0</v>
      </c>
      <c r="B18" s="267" t="s">
        <v>163</v>
      </c>
      <c r="C18" s="268" t="s">
        <v>171</v>
      </c>
      <c r="D18" s="276">
        <v>166961.6</v>
      </c>
      <c r="E18" s="278" t="s">
        <v>166</v>
      </c>
      <c r="F18" s="275">
        <v>45128.0</v>
      </c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</row>
    <row r="19">
      <c r="A19" s="266">
        <v>2023.0</v>
      </c>
      <c r="B19" s="267" t="s">
        <v>163</v>
      </c>
      <c r="C19" s="268" t="s">
        <v>171</v>
      </c>
      <c r="D19" s="276">
        <v>189074.24</v>
      </c>
      <c r="E19" s="274">
        <v>45047.0</v>
      </c>
      <c r="F19" s="279">
        <v>45128.0</v>
      </c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</row>
    <row r="20">
      <c r="A20" s="266">
        <v>2023.0</v>
      </c>
      <c r="B20" s="267" t="s">
        <v>163</v>
      </c>
      <c r="C20" s="268" t="s">
        <v>171</v>
      </c>
      <c r="D20" s="276">
        <v>211410.24</v>
      </c>
      <c r="E20" s="270" t="s">
        <v>167</v>
      </c>
      <c r="F20" s="275">
        <v>45155.0</v>
      </c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</row>
    <row r="21" ht="15.75" customHeight="1">
      <c r="A21" s="266">
        <v>2023.0</v>
      </c>
      <c r="B21" s="267" t="s">
        <v>163</v>
      </c>
      <c r="C21" s="268" t="s">
        <v>172</v>
      </c>
      <c r="D21" s="276">
        <v>187399.04</v>
      </c>
      <c r="E21" s="274">
        <v>45139.0</v>
      </c>
      <c r="F21" s="275">
        <v>45230.0</v>
      </c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</row>
    <row r="22" ht="15.75" customHeight="1">
      <c r="A22" s="266">
        <v>2023.0</v>
      </c>
      <c r="B22" s="267" t="s">
        <v>163</v>
      </c>
      <c r="C22" s="268" t="s">
        <v>171</v>
      </c>
      <c r="D22" s="273">
        <v>156016.96</v>
      </c>
      <c r="E22" s="274">
        <v>45108.0</v>
      </c>
      <c r="F22" s="275">
        <v>45230.0</v>
      </c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</row>
    <row r="23" ht="15.75" customHeight="1">
      <c r="A23" s="266">
        <v>2023.0</v>
      </c>
      <c r="B23" s="267" t="s">
        <v>163</v>
      </c>
      <c r="C23" s="268" t="s">
        <v>172</v>
      </c>
      <c r="D23" s="276">
        <v>208283.2</v>
      </c>
      <c r="E23" s="270" t="s">
        <v>173</v>
      </c>
      <c r="F23" s="275">
        <v>45288.0</v>
      </c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</row>
    <row r="24" ht="15.75" customHeight="1">
      <c r="A24" s="266">
        <v>2023.0</v>
      </c>
      <c r="B24" s="267" t="s">
        <v>163</v>
      </c>
      <c r="C24" s="268" t="s">
        <v>172</v>
      </c>
      <c r="D24" s="276">
        <v>173439.04</v>
      </c>
      <c r="E24" s="274">
        <v>45200.0</v>
      </c>
      <c r="F24" s="275">
        <v>45288.0</v>
      </c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</row>
    <row r="25" ht="15.75" customHeight="1">
      <c r="A25" s="266">
        <v>2023.0</v>
      </c>
      <c r="B25" s="267" t="s">
        <v>163</v>
      </c>
      <c r="C25" s="268" t="s">
        <v>174</v>
      </c>
      <c r="D25" s="276">
        <v>382641.65</v>
      </c>
      <c r="E25" s="278" t="s">
        <v>166</v>
      </c>
      <c r="F25" s="275">
        <v>45044.0</v>
      </c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</row>
    <row r="26" ht="15.75" customHeight="1">
      <c r="A26" s="266">
        <v>2023.0</v>
      </c>
      <c r="B26" s="267" t="s">
        <v>163</v>
      </c>
      <c r="C26" s="268" t="s">
        <v>175</v>
      </c>
      <c r="D26" s="276">
        <v>382641.66</v>
      </c>
      <c r="E26" s="277">
        <v>44958.0</v>
      </c>
      <c r="F26" s="275">
        <v>45044.0</v>
      </c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</row>
    <row r="27" ht="15.75" customHeight="1">
      <c r="A27" s="266">
        <v>2023.0</v>
      </c>
      <c r="B27" s="267" t="s">
        <v>163</v>
      </c>
      <c r="C27" s="268" t="s">
        <v>175</v>
      </c>
      <c r="D27" s="276">
        <v>382641.66</v>
      </c>
      <c r="E27" s="277">
        <v>44927.0</v>
      </c>
      <c r="F27" s="275">
        <v>45044.0</v>
      </c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</row>
    <row r="28" ht="15.75" customHeight="1">
      <c r="A28" s="266">
        <v>2023.0</v>
      </c>
      <c r="B28" s="267" t="s">
        <v>163</v>
      </c>
      <c r="C28" s="268" t="s">
        <v>174</v>
      </c>
      <c r="D28" s="276">
        <v>382641.66</v>
      </c>
      <c r="E28" s="277">
        <v>44986.0</v>
      </c>
      <c r="F28" s="275">
        <v>45044.0</v>
      </c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</row>
    <row r="29" ht="15.75" customHeight="1">
      <c r="A29" s="266">
        <v>2023.0</v>
      </c>
      <c r="B29" s="267" t="s">
        <v>163</v>
      </c>
      <c r="C29" s="268" t="s">
        <v>174</v>
      </c>
      <c r="D29" s="276">
        <v>382641.66</v>
      </c>
      <c r="E29" s="277">
        <v>45047.0</v>
      </c>
      <c r="F29" s="275">
        <v>45111.0</v>
      </c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</row>
    <row r="30" ht="15.75" customHeight="1">
      <c r="A30" s="266">
        <v>2023.0</v>
      </c>
      <c r="B30" s="267" t="s">
        <v>163</v>
      </c>
      <c r="C30" s="268" t="s">
        <v>174</v>
      </c>
      <c r="D30" s="276">
        <v>382641.66</v>
      </c>
      <c r="E30" s="270" t="s">
        <v>167</v>
      </c>
      <c r="F30" s="275">
        <v>45111.0</v>
      </c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</row>
    <row r="31" ht="15.75" customHeight="1">
      <c r="A31" s="266">
        <v>2023.0</v>
      </c>
      <c r="B31" s="267" t="s">
        <v>163</v>
      </c>
      <c r="C31" s="268" t="s">
        <v>175</v>
      </c>
      <c r="D31" s="276">
        <v>382641.66</v>
      </c>
      <c r="E31" s="274">
        <v>45108.0</v>
      </c>
      <c r="F31" s="275">
        <v>45155.0</v>
      </c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</row>
    <row r="32" ht="15.75" customHeight="1">
      <c r="A32" s="266">
        <v>2023.0</v>
      </c>
      <c r="B32" s="267" t="s">
        <v>163</v>
      </c>
      <c r="C32" s="268" t="s">
        <v>175</v>
      </c>
      <c r="D32" s="276">
        <v>382641.66</v>
      </c>
      <c r="E32" s="274">
        <v>45139.0</v>
      </c>
      <c r="F32" s="275">
        <v>45181.0</v>
      </c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</row>
    <row r="33" ht="15.75" customHeight="1">
      <c r="A33" s="266">
        <v>2023.0</v>
      </c>
      <c r="B33" s="267" t="s">
        <v>163</v>
      </c>
      <c r="C33" s="268" t="s">
        <v>174</v>
      </c>
      <c r="D33" s="276">
        <v>382641.66</v>
      </c>
      <c r="E33" s="270" t="s">
        <v>176</v>
      </c>
      <c r="F33" s="275">
        <v>45230.0</v>
      </c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</row>
    <row r="34" ht="15.75" customHeight="1">
      <c r="A34" s="266">
        <v>2023.0</v>
      </c>
      <c r="B34" s="267" t="s">
        <v>163</v>
      </c>
      <c r="C34" s="268" t="s">
        <v>174</v>
      </c>
      <c r="D34" s="276">
        <v>382641.66</v>
      </c>
      <c r="E34" s="274">
        <v>45170.0</v>
      </c>
      <c r="F34" s="275">
        <v>45230.0</v>
      </c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</row>
    <row r="35" ht="15.75" customHeight="1">
      <c r="A35" s="266">
        <v>2023.0</v>
      </c>
      <c r="B35" s="267" t="s">
        <v>163</v>
      </c>
      <c r="C35" s="268" t="s">
        <v>175</v>
      </c>
      <c r="D35" s="276">
        <v>382641.66</v>
      </c>
      <c r="E35" s="274">
        <v>45231.0</v>
      </c>
      <c r="F35" s="275">
        <v>45288.0</v>
      </c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</row>
    <row r="36" ht="15.75" customHeight="1">
      <c r="A36" s="266">
        <v>2023.0</v>
      </c>
      <c r="B36" s="267" t="s">
        <v>163</v>
      </c>
      <c r="C36" s="268" t="s">
        <v>174</v>
      </c>
      <c r="D36" s="276">
        <v>382641.66</v>
      </c>
      <c r="E36" s="274">
        <v>45261.0</v>
      </c>
      <c r="F36" s="275">
        <v>45288.0</v>
      </c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</row>
    <row r="37" ht="15.75" customHeight="1">
      <c r="A37" s="266">
        <v>2023.0</v>
      </c>
      <c r="B37" s="267" t="s">
        <v>159</v>
      </c>
      <c r="C37" s="268" t="s">
        <v>177</v>
      </c>
      <c r="D37" s="276">
        <v>105344.7</v>
      </c>
      <c r="E37" s="277">
        <v>44927.0</v>
      </c>
      <c r="F37" s="275">
        <v>45055.0</v>
      </c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</row>
    <row r="38" ht="15.75" customHeight="1">
      <c r="A38" s="266">
        <v>2023.0</v>
      </c>
      <c r="B38" s="267" t="s">
        <v>159</v>
      </c>
      <c r="C38" s="268" t="s">
        <v>177</v>
      </c>
      <c r="D38" s="276">
        <v>105344.7</v>
      </c>
      <c r="E38" s="280" t="s">
        <v>167</v>
      </c>
      <c r="F38" s="275">
        <v>45135.0</v>
      </c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</row>
    <row r="39" ht="15.75" customHeight="1">
      <c r="A39" s="266">
        <v>2023.0</v>
      </c>
      <c r="B39" s="267" t="s">
        <v>159</v>
      </c>
      <c r="C39" s="268" t="s">
        <v>177</v>
      </c>
      <c r="D39" s="276">
        <v>105344.7</v>
      </c>
      <c r="E39" s="277">
        <v>45047.0</v>
      </c>
      <c r="F39" s="275">
        <v>45135.0</v>
      </c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</row>
    <row r="40" ht="15.75" customHeight="1">
      <c r="A40" s="266">
        <v>2023.0</v>
      </c>
      <c r="B40" s="267" t="s">
        <v>159</v>
      </c>
      <c r="C40" s="268" t="s">
        <v>177</v>
      </c>
      <c r="D40" s="276">
        <v>105344.69</v>
      </c>
      <c r="E40" s="280" t="s">
        <v>166</v>
      </c>
      <c r="F40" s="275">
        <v>45135.0</v>
      </c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</row>
    <row r="41" ht="15.75" customHeight="1">
      <c r="A41" s="266">
        <v>2023.0</v>
      </c>
      <c r="B41" s="267" t="s">
        <v>159</v>
      </c>
      <c r="C41" s="268" t="s">
        <v>177</v>
      </c>
      <c r="D41" s="276">
        <v>105344.7</v>
      </c>
      <c r="E41" s="277">
        <v>44986.0</v>
      </c>
      <c r="F41" s="275">
        <v>46962.0</v>
      </c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</row>
    <row r="42" ht="15.75" customHeight="1">
      <c r="A42" s="266">
        <v>2023.0</v>
      </c>
      <c r="B42" s="267" t="s">
        <v>159</v>
      </c>
      <c r="C42" s="268" t="s">
        <v>177</v>
      </c>
      <c r="D42" s="276">
        <v>105344.7</v>
      </c>
      <c r="E42" s="277">
        <v>44958.0</v>
      </c>
      <c r="F42" s="275">
        <v>45135.0</v>
      </c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</row>
    <row r="43" ht="15.75" customHeight="1">
      <c r="A43" s="266">
        <v>2023.0</v>
      </c>
      <c r="B43" s="267" t="s">
        <v>159</v>
      </c>
      <c r="C43" s="268" t="s">
        <v>177</v>
      </c>
      <c r="D43" s="276">
        <v>105344.7</v>
      </c>
      <c r="E43" s="277">
        <v>45139.0</v>
      </c>
      <c r="F43" s="275">
        <v>45181.0</v>
      </c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</row>
    <row r="44" ht="15.75" customHeight="1">
      <c r="A44" s="266">
        <v>2023.0</v>
      </c>
      <c r="B44" s="267" t="s">
        <v>159</v>
      </c>
      <c r="C44" s="268" t="s">
        <v>177</v>
      </c>
      <c r="D44" s="276">
        <v>105344.7</v>
      </c>
      <c r="E44" s="277">
        <v>45108.0</v>
      </c>
      <c r="F44" s="275">
        <v>45181.0</v>
      </c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</row>
    <row r="45" ht="15.75" customHeight="1">
      <c r="A45" s="266">
        <v>2023.0</v>
      </c>
      <c r="B45" s="267" t="s">
        <v>159</v>
      </c>
      <c r="C45" s="268" t="s">
        <v>177</v>
      </c>
      <c r="D45" s="276">
        <v>105344.7</v>
      </c>
      <c r="E45" s="277">
        <v>45170.0</v>
      </c>
      <c r="F45" s="275">
        <v>45288.0</v>
      </c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</row>
    <row r="46" ht="15.75" customHeight="1">
      <c r="A46" s="266">
        <v>2023.0</v>
      </c>
      <c r="B46" s="267" t="s">
        <v>159</v>
      </c>
      <c r="C46" s="268" t="s">
        <v>177</v>
      </c>
      <c r="D46" s="276">
        <v>105344.7</v>
      </c>
      <c r="E46" s="277">
        <v>45200.0</v>
      </c>
      <c r="F46" s="275">
        <v>45288.0</v>
      </c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</row>
    <row r="47" ht="15.75" customHeight="1">
      <c r="A47" s="266">
        <v>2023.0</v>
      </c>
      <c r="B47" s="267" t="s">
        <v>159</v>
      </c>
      <c r="C47" s="268" t="s">
        <v>177</v>
      </c>
      <c r="D47" s="276">
        <v>105344.7</v>
      </c>
      <c r="E47" s="274">
        <v>45231.0</v>
      </c>
      <c r="F47" s="275">
        <v>45288.0</v>
      </c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</row>
    <row r="48" ht="15.75" customHeight="1">
      <c r="A48" s="266">
        <v>2023.0</v>
      </c>
      <c r="B48" s="267" t="s">
        <v>163</v>
      </c>
      <c r="C48" s="268" t="s">
        <v>178</v>
      </c>
      <c r="D48" s="276">
        <v>46010.06</v>
      </c>
      <c r="E48" s="277">
        <v>44958.0</v>
      </c>
      <c r="F48" s="275">
        <v>45013.0</v>
      </c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</row>
    <row r="49" ht="15.75" customHeight="1">
      <c r="A49" s="266">
        <v>2023.0</v>
      </c>
      <c r="B49" s="267" t="s">
        <v>163</v>
      </c>
      <c r="C49" s="268" t="s">
        <v>178</v>
      </c>
      <c r="D49" s="276">
        <v>46010.06</v>
      </c>
      <c r="E49" s="277">
        <v>44927.0</v>
      </c>
      <c r="F49" s="275">
        <v>45013.0</v>
      </c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</row>
    <row r="50" ht="15.75" customHeight="1">
      <c r="A50" s="266">
        <v>2023.0</v>
      </c>
      <c r="B50" s="267" t="s">
        <v>163</v>
      </c>
      <c r="C50" s="268" t="s">
        <v>178</v>
      </c>
      <c r="D50" s="276">
        <v>46010.06</v>
      </c>
      <c r="E50" s="270" t="s">
        <v>179</v>
      </c>
      <c r="F50" s="275">
        <v>45013.0</v>
      </c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</row>
    <row r="51" ht="15.75" customHeight="1">
      <c r="A51" s="266">
        <v>2023.0</v>
      </c>
      <c r="B51" s="267" t="s">
        <v>163</v>
      </c>
      <c r="C51" s="268" t="s">
        <v>178</v>
      </c>
      <c r="D51" s="276">
        <v>46010.06</v>
      </c>
      <c r="E51" s="274">
        <v>45017.0</v>
      </c>
      <c r="F51" s="275">
        <v>45065.0</v>
      </c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</row>
    <row r="52" ht="15.75" customHeight="1">
      <c r="A52" s="266">
        <v>2023.0</v>
      </c>
      <c r="B52" s="267" t="s">
        <v>163</v>
      </c>
      <c r="C52" s="268" t="s">
        <v>178</v>
      </c>
      <c r="D52" s="276">
        <v>46010.06</v>
      </c>
      <c r="E52" s="274">
        <v>45078.0</v>
      </c>
      <c r="F52" s="275">
        <v>45098.0</v>
      </c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</row>
    <row r="53" ht="15.75" customHeight="1">
      <c r="A53" s="266">
        <v>2023.0</v>
      </c>
      <c r="B53" s="267" t="s">
        <v>163</v>
      </c>
      <c r="C53" s="268" t="s">
        <v>178</v>
      </c>
      <c r="D53" s="276">
        <v>46010.06</v>
      </c>
      <c r="E53" s="277">
        <v>45047.0</v>
      </c>
      <c r="F53" s="275">
        <v>45098.0</v>
      </c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</row>
    <row r="54" ht="15.75" customHeight="1">
      <c r="A54" s="266">
        <v>2023.0</v>
      </c>
      <c r="B54" s="267" t="s">
        <v>163</v>
      </c>
      <c r="C54" s="268" t="s">
        <v>178</v>
      </c>
      <c r="D54" s="276">
        <v>46010.06</v>
      </c>
      <c r="E54" s="270" t="s">
        <v>180</v>
      </c>
      <c r="F54" s="275">
        <v>45121.0</v>
      </c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</row>
    <row r="55" ht="15.75" customHeight="1">
      <c r="A55" s="266">
        <v>2023.0</v>
      </c>
      <c r="B55" s="267" t="s">
        <v>163</v>
      </c>
      <c r="C55" s="268" t="s">
        <v>178</v>
      </c>
      <c r="D55" s="276">
        <v>46010.06</v>
      </c>
      <c r="E55" s="277">
        <v>45139.0</v>
      </c>
      <c r="F55" s="275">
        <v>45159.0</v>
      </c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</row>
    <row r="56" ht="15.75" customHeight="1">
      <c r="A56" s="266">
        <v>2023.0</v>
      </c>
      <c r="B56" s="267" t="s">
        <v>163</v>
      </c>
      <c r="C56" s="268" t="s">
        <v>178</v>
      </c>
      <c r="D56" s="273">
        <v>46010.06</v>
      </c>
      <c r="E56" s="277">
        <v>45170.0</v>
      </c>
      <c r="F56" s="275">
        <v>45216.0</v>
      </c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</row>
    <row r="57" ht="15.75" customHeight="1">
      <c r="A57" s="266">
        <v>2023.0</v>
      </c>
      <c r="B57" s="267" t="s">
        <v>163</v>
      </c>
      <c r="C57" s="268" t="s">
        <v>178</v>
      </c>
      <c r="D57" s="276">
        <v>46010.06</v>
      </c>
      <c r="E57" s="277">
        <v>45200.0</v>
      </c>
      <c r="F57" s="275">
        <v>45230.0</v>
      </c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</row>
    <row r="58" ht="15.75" customHeight="1">
      <c r="A58" s="266">
        <v>2023.0</v>
      </c>
      <c r="B58" s="267" t="s">
        <v>163</v>
      </c>
      <c r="C58" s="268" t="s">
        <v>178</v>
      </c>
      <c r="D58" s="276">
        <v>46010.06</v>
      </c>
      <c r="E58" s="277">
        <v>45231.0</v>
      </c>
      <c r="F58" s="275">
        <v>45288.0</v>
      </c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</row>
    <row r="59" ht="15.75" customHeight="1">
      <c r="A59" s="266">
        <v>2023.0</v>
      </c>
      <c r="B59" s="267" t="s">
        <v>163</v>
      </c>
      <c r="C59" s="268" t="s">
        <v>178</v>
      </c>
      <c r="D59" s="276">
        <v>46010.06</v>
      </c>
      <c r="E59" s="277">
        <v>45261.0</v>
      </c>
      <c r="F59" s="275">
        <v>45288.0</v>
      </c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</row>
    <row r="60" ht="15.75" customHeight="1">
      <c r="A60" s="266">
        <v>2023.0</v>
      </c>
      <c r="B60" s="267" t="s">
        <v>163</v>
      </c>
      <c r="C60" s="268" t="s">
        <v>178</v>
      </c>
      <c r="D60" s="276">
        <v>46010.06</v>
      </c>
      <c r="E60" s="270" t="s">
        <v>181</v>
      </c>
      <c r="F60" s="275">
        <v>45288.0</v>
      </c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</row>
    <row r="61" ht="15.75" customHeight="1">
      <c r="A61" s="266">
        <v>2023.0</v>
      </c>
      <c r="B61" s="267" t="s">
        <v>163</v>
      </c>
      <c r="C61" s="268" t="s">
        <v>182</v>
      </c>
      <c r="D61" s="276">
        <v>1258856.96</v>
      </c>
      <c r="E61" s="281" t="s">
        <v>183</v>
      </c>
      <c r="F61" s="275">
        <v>45049.0</v>
      </c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</row>
    <row r="62" ht="15.75" customHeight="1">
      <c r="A62" s="266">
        <v>2023.0</v>
      </c>
      <c r="B62" s="267" t="s">
        <v>159</v>
      </c>
      <c r="C62" s="268" t="s">
        <v>177</v>
      </c>
      <c r="D62" s="276">
        <v>105344.7</v>
      </c>
      <c r="E62" s="270" t="s">
        <v>184</v>
      </c>
      <c r="F62" s="275">
        <v>45288.0</v>
      </c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</row>
    <row r="63" ht="15.75" customHeight="1">
      <c r="A63" s="266">
        <v>2023.0</v>
      </c>
      <c r="B63" s="267" t="s">
        <v>159</v>
      </c>
      <c r="C63" s="268" t="s">
        <v>177</v>
      </c>
      <c r="D63" s="276">
        <v>105344.7</v>
      </c>
      <c r="E63" s="270" t="s">
        <v>181</v>
      </c>
      <c r="F63" s="275">
        <v>45288.0</v>
      </c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</row>
    <row r="64" ht="15.75" customHeight="1">
      <c r="A64" s="266">
        <v>2023.0</v>
      </c>
      <c r="B64" s="267" t="s">
        <v>159</v>
      </c>
      <c r="C64" s="268" t="s">
        <v>185</v>
      </c>
      <c r="D64" s="276">
        <v>27267.65</v>
      </c>
      <c r="E64" s="277">
        <v>44927.0</v>
      </c>
      <c r="F64" s="275">
        <v>45142.0</v>
      </c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</row>
    <row r="65" ht="15.75" customHeight="1">
      <c r="A65" s="266">
        <v>2023.0</v>
      </c>
      <c r="B65" s="267" t="s">
        <v>159</v>
      </c>
      <c r="C65" s="268" t="s">
        <v>185</v>
      </c>
      <c r="D65" s="276">
        <v>27267.65</v>
      </c>
      <c r="E65" s="277">
        <v>44986.0</v>
      </c>
      <c r="F65" s="275">
        <v>45153.0</v>
      </c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</row>
    <row r="66" ht="15.75" customHeight="1">
      <c r="A66" s="266">
        <v>2023.0</v>
      </c>
      <c r="B66" s="267" t="s">
        <v>159</v>
      </c>
      <c r="C66" s="268" t="s">
        <v>185</v>
      </c>
      <c r="D66" s="276">
        <v>27267.65</v>
      </c>
      <c r="E66" s="277">
        <v>44958.0</v>
      </c>
      <c r="F66" s="275">
        <v>45153.0</v>
      </c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</row>
    <row r="67" ht="15.75" customHeight="1">
      <c r="A67" s="266">
        <v>2023.0</v>
      </c>
      <c r="B67" s="267" t="s">
        <v>159</v>
      </c>
      <c r="C67" s="268" t="s">
        <v>185</v>
      </c>
      <c r="D67" s="276">
        <v>27267.65</v>
      </c>
      <c r="E67" s="277">
        <v>44927.0</v>
      </c>
      <c r="F67" s="275">
        <v>45153.0</v>
      </c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</row>
    <row r="68" ht="15.75" customHeight="1">
      <c r="A68" s="266">
        <v>2023.0</v>
      </c>
      <c r="B68" s="267" t="s">
        <v>159</v>
      </c>
      <c r="C68" s="268" t="s">
        <v>185</v>
      </c>
      <c r="D68" s="273">
        <v>27267.65</v>
      </c>
      <c r="E68" s="277">
        <v>45017.0</v>
      </c>
      <c r="F68" s="275">
        <v>45181.0</v>
      </c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</row>
    <row r="69" ht="15.75" customHeight="1">
      <c r="A69" s="266">
        <v>2023.0</v>
      </c>
      <c r="B69" s="267" t="s">
        <v>159</v>
      </c>
      <c r="C69" s="268" t="s">
        <v>185</v>
      </c>
      <c r="D69" s="276">
        <v>27267.65</v>
      </c>
      <c r="E69" s="277">
        <v>45139.0</v>
      </c>
      <c r="F69" s="275">
        <v>45197.0</v>
      </c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</row>
    <row r="70" ht="15.75" customHeight="1">
      <c r="A70" s="266">
        <v>2023.0</v>
      </c>
      <c r="B70" s="267" t="s">
        <v>159</v>
      </c>
      <c r="C70" s="268" t="s">
        <v>185</v>
      </c>
      <c r="D70" s="276">
        <v>27267.65</v>
      </c>
      <c r="E70" s="277">
        <v>45108.0</v>
      </c>
      <c r="F70" s="275">
        <v>45197.0</v>
      </c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</row>
    <row r="71" ht="15.75" customHeight="1">
      <c r="A71" s="266">
        <v>2023.0</v>
      </c>
      <c r="B71" s="267" t="s">
        <v>159</v>
      </c>
      <c r="C71" s="268" t="s">
        <v>185</v>
      </c>
      <c r="D71" s="276">
        <v>27267.65</v>
      </c>
      <c r="E71" s="277">
        <v>45078.0</v>
      </c>
      <c r="F71" s="275">
        <v>45197.0</v>
      </c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</row>
    <row r="72" ht="15.75" customHeight="1">
      <c r="A72" s="266">
        <v>2023.0</v>
      </c>
      <c r="B72" s="267" t="s">
        <v>159</v>
      </c>
      <c r="C72" s="268" t="s">
        <v>185</v>
      </c>
      <c r="D72" s="276">
        <v>27267.65</v>
      </c>
      <c r="E72" s="277">
        <v>45047.0</v>
      </c>
      <c r="F72" s="275">
        <v>45197.0</v>
      </c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</row>
    <row r="73" ht="15.75" customHeight="1">
      <c r="A73" s="266">
        <v>2023.0</v>
      </c>
      <c r="B73" s="267" t="s">
        <v>159</v>
      </c>
      <c r="C73" s="268" t="s">
        <v>185</v>
      </c>
      <c r="D73" s="276">
        <v>27267.65</v>
      </c>
      <c r="E73" s="277">
        <v>45170.0</v>
      </c>
      <c r="F73" s="275">
        <v>45287.0</v>
      </c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</row>
    <row r="74" ht="15.75" customHeight="1">
      <c r="A74" s="266">
        <v>2023.0</v>
      </c>
      <c r="B74" s="267" t="s">
        <v>159</v>
      </c>
      <c r="C74" s="268" t="s">
        <v>185</v>
      </c>
      <c r="D74" s="276">
        <v>27267.65</v>
      </c>
      <c r="E74" s="277">
        <v>45200.0</v>
      </c>
      <c r="F74" s="275">
        <v>45287.0</v>
      </c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</row>
    <row r="75" ht="15.75" customHeight="1">
      <c r="A75" s="266">
        <v>2023.0</v>
      </c>
      <c r="B75" s="267" t="s">
        <v>159</v>
      </c>
      <c r="C75" s="268" t="s">
        <v>185</v>
      </c>
      <c r="D75" s="276">
        <v>27267.65</v>
      </c>
      <c r="E75" s="277">
        <v>45231.0</v>
      </c>
      <c r="F75" s="275">
        <v>45287.0</v>
      </c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</row>
    <row r="76" ht="15.75" customHeight="1">
      <c r="A76" s="266">
        <v>2023.0</v>
      </c>
      <c r="B76" s="267" t="s">
        <v>163</v>
      </c>
      <c r="C76" s="268" t="s">
        <v>186</v>
      </c>
      <c r="D76" s="276">
        <v>14397.76</v>
      </c>
      <c r="E76" s="277">
        <v>45200.0</v>
      </c>
      <c r="F76" s="275">
        <v>45287.0</v>
      </c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</row>
    <row r="77" ht="15.75" customHeight="1">
      <c r="A77" s="266">
        <v>2023.0</v>
      </c>
      <c r="B77" s="267" t="s">
        <v>163</v>
      </c>
      <c r="C77" s="268" t="s">
        <v>186</v>
      </c>
      <c r="D77" s="276">
        <v>14397.76</v>
      </c>
      <c r="E77" s="277">
        <v>45231.0</v>
      </c>
      <c r="F77" s="275">
        <v>45287.0</v>
      </c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</row>
    <row r="78" ht="15.75" customHeight="1">
      <c r="A78" s="266">
        <v>2023.0</v>
      </c>
      <c r="B78" s="267" t="s">
        <v>163</v>
      </c>
      <c r="C78" s="268" t="s">
        <v>186</v>
      </c>
      <c r="D78" s="276">
        <v>14397.75</v>
      </c>
      <c r="E78" s="277">
        <v>45139.0</v>
      </c>
      <c r="F78" s="275">
        <v>45287.0</v>
      </c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</row>
    <row r="79" ht="15.75" customHeight="1">
      <c r="A79" s="266">
        <v>2023.0</v>
      </c>
      <c r="B79" s="267" t="s">
        <v>163</v>
      </c>
      <c r="C79" s="268" t="s">
        <v>186</v>
      </c>
      <c r="D79" s="276">
        <v>14397.75</v>
      </c>
      <c r="E79" s="277">
        <v>45261.0</v>
      </c>
      <c r="F79" s="275">
        <v>45287.0</v>
      </c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</row>
    <row r="80" ht="15.75" customHeight="1">
      <c r="A80" s="266">
        <v>2023.0</v>
      </c>
      <c r="B80" s="267" t="s">
        <v>163</v>
      </c>
      <c r="C80" s="268" t="s">
        <v>186</v>
      </c>
      <c r="D80" s="276">
        <v>14397.74</v>
      </c>
      <c r="E80" s="277">
        <v>45170.0</v>
      </c>
      <c r="F80" s="275">
        <v>45287.0</v>
      </c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</row>
    <row r="81" ht="15.75" customHeight="1">
      <c r="A81" s="266">
        <v>2023.0</v>
      </c>
      <c r="B81" s="282"/>
      <c r="C81" s="283" t="s">
        <v>187</v>
      </c>
      <c r="D81" s="284">
        <v>98300.0</v>
      </c>
      <c r="E81" s="285"/>
      <c r="F81" s="275">
        <v>45288.0</v>
      </c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</row>
    <row r="82" ht="15.75" customHeight="1">
      <c r="A82" s="266">
        <v>2023.0</v>
      </c>
      <c r="B82" s="282" t="s">
        <v>163</v>
      </c>
      <c r="C82" s="283" t="s">
        <v>188</v>
      </c>
      <c r="D82" s="284">
        <v>400000.0</v>
      </c>
      <c r="E82" s="285"/>
      <c r="F82" s="275">
        <v>45288.0</v>
      </c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</row>
    <row r="83" ht="15.75" customHeight="1">
      <c r="A83" s="266">
        <v>2024.0</v>
      </c>
      <c r="B83" s="267" t="s">
        <v>163</v>
      </c>
      <c r="C83" s="268" t="s">
        <v>189</v>
      </c>
      <c r="D83" s="276">
        <v>428791.66</v>
      </c>
      <c r="E83" s="270" t="s">
        <v>190</v>
      </c>
      <c r="F83" s="275">
        <v>45344.0</v>
      </c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</row>
    <row r="84" ht="15.75" customHeight="1">
      <c r="A84" s="266">
        <v>2024.0</v>
      </c>
      <c r="B84" s="267" t="s">
        <v>163</v>
      </c>
      <c r="C84" s="268" t="s">
        <v>189</v>
      </c>
      <c r="D84" s="276">
        <v>428791.66</v>
      </c>
      <c r="E84" s="274">
        <v>45323.0</v>
      </c>
      <c r="F84" s="275">
        <v>45344.0</v>
      </c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</row>
    <row r="85" ht="15.75" customHeight="1">
      <c r="A85" s="266">
        <v>2024.0</v>
      </c>
      <c r="B85" s="267" t="s">
        <v>163</v>
      </c>
      <c r="C85" s="268" t="s">
        <v>189</v>
      </c>
      <c r="D85" s="276">
        <v>428791.67</v>
      </c>
      <c r="E85" s="270" t="s">
        <v>191</v>
      </c>
      <c r="F85" s="275">
        <v>45420.0</v>
      </c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</row>
    <row r="86" ht="15.75" customHeight="1">
      <c r="A86" s="266">
        <v>2024.0</v>
      </c>
      <c r="B86" s="267" t="s">
        <v>163</v>
      </c>
      <c r="C86" s="268" t="s">
        <v>189</v>
      </c>
      <c r="D86" s="276">
        <v>428791.67</v>
      </c>
      <c r="E86" s="274">
        <v>45413.0</v>
      </c>
      <c r="F86" s="275">
        <v>45429.0</v>
      </c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</row>
    <row r="87" ht="15.75" customHeight="1">
      <c r="A87" s="266">
        <v>2024.0</v>
      </c>
      <c r="B87" s="267" t="s">
        <v>163</v>
      </c>
      <c r="C87" s="268" t="s">
        <v>189</v>
      </c>
      <c r="D87" s="276">
        <v>428791.67</v>
      </c>
      <c r="E87" s="270" t="s">
        <v>192</v>
      </c>
      <c r="F87" s="275">
        <v>45429.0</v>
      </c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</row>
    <row r="88" ht="15.75" customHeight="1">
      <c r="A88" s="266">
        <v>2024.0</v>
      </c>
      <c r="B88" s="267" t="s">
        <v>163</v>
      </c>
      <c r="C88" s="268" t="s">
        <v>189</v>
      </c>
      <c r="D88" s="276">
        <v>0.01</v>
      </c>
      <c r="E88" s="274">
        <v>45292.0</v>
      </c>
      <c r="F88" s="275">
        <v>45398.0</v>
      </c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</row>
    <row r="89" ht="15.75" customHeight="1">
      <c r="A89" s="266">
        <v>2024.0</v>
      </c>
      <c r="B89" s="267" t="s">
        <v>163</v>
      </c>
      <c r="C89" s="268" t="s">
        <v>189</v>
      </c>
      <c r="D89" s="276">
        <v>428791.67</v>
      </c>
      <c r="E89" s="274">
        <v>45444.0</v>
      </c>
      <c r="F89" s="275">
        <v>45463.0</v>
      </c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</row>
    <row r="90" ht="15.75" customHeight="1">
      <c r="A90" s="266">
        <v>2024.0</v>
      </c>
      <c r="B90" s="267" t="s">
        <v>163</v>
      </c>
      <c r="C90" s="268" t="s">
        <v>189</v>
      </c>
      <c r="D90" s="276">
        <v>428791.67</v>
      </c>
      <c r="E90" s="270" t="s">
        <v>193</v>
      </c>
      <c r="F90" s="275">
        <v>45492.0</v>
      </c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</row>
    <row r="91" ht="15.75" customHeight="1">
      <c r="A91" s="266">
        <v>2024.0</v>
      </c>
      <c r="B91" s="267" t="s">
        <v>163</v>
      </c>
      <c r="C91" s="268" t="s">
        <v>189</v>
      </c>
      <c r="D91" s="276">
        <v>428791.67</v>
      </c>
      <c r="E91" s="274">
        <v>45505.0</v>
      </c>
      <c r="F91" s="275">
        <v>45520.0</v>
      </c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</row>
    <row r="92" ht="15.75" customHeight="1">
      <c r="A92" s="266">
        <v>2024.0</v>
      </c>
      <c r="B92" s="267" t="s">
        <v>163</v>
      </c>
      <c r="C92" s="268" t="s">
        <v>194</v>
      </c>
      <c r="D92" s="276">
        <v>182261.76</v>
      </c>
      <c r="E92" s="274">
        <v>45292.0</v>
      </c>
      <c r="F92" s="275">
        <v>45365.0</v>
      </c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</row>
    <row r="93" ht="15.75" customHeight="1">
      <c r="A93" s="266">
        <v>2024.0</v>
      </c>
      <c r="B93" s="267" t="s">
        <v>163</v>
      </c>
      <c r="C93" s="268" t="s">
        <v>195</v>
      </c>
      <c r="D93" s="276">
        <v>194993.28</v>
      </c>
      <c r="E93" s="270" t="s">
        <v>196</v>
      </c>
      <c r="F93" s="275">
        <v>45420.0</v>
      </c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</row>
    <row r="94" ht="15.75" customHeight="1">
      <c r="A94" s="266">
        <v>2024.0</v>
      </c>
      <c r="B94" s="267" t="s">
        <v>163</v>
      </c>
      <c r="C94" s="268" t="s">
        <v>195</v>
      </c>
      <c r="D94" s="276">
        <v>185835.52</v>
      </c>
      <c r="E94" s="274">
        <v>45352.0</v>
      </c>
      <c r="F94" s="275">
        <v>45441.0</v>
      </c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</row>
    <row r="95" ht="15.75" customHeight="1">
      <c r="A95" s="266">
        <v>2024.0</v>
      </c>
      <c r="B95" s="267" t="s">
        <v>163</v>
      </c>
      <c r="C95" s="268" t="s">
        <v>195</v>
      </c>
      <c r="D95" s="276">
        <v>200018.88</v>
      </c>
      <c r="E95" s="270" t="s">
        <v>192</v>
      </c>
      <c r="F95" s="275">
        <v>45492.0</v>
      </c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</row>
    <row r="96" ht="15.75" customHeight="1">
      <c r="A96" s="266">
        <v>2024.0</v>
      </c>
      <c r="B96" s="267" t="s">
        <v>163</v>
      </c>
      <c r="C96" s="268" t="s">
        <v>195</v>
      </c>
      <c r="D96" s="273">
        <v>186170.56</v>
      </c>
      <c r="E96" s="270" t="s">
        <v>197</v>
      </c>
      <c r="F96" s="275">
        <v>45527.0</v>
      </c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</row>
    <row r="97" ht="15.75" customHeight="1">
      <c r="A97" s="266">
        <v>2024.0</v>
      </c>
      <c r="B97" s="267" t="s">
        <v>163</v>
      </c>
      <c r="C97" s="268" t="s">
        <v>195</v>
      </c>
      <c r="D97" s="276">
        <v>186170.56</v>
      </c>
      <c r="E97" s="274">
        <v>45413.0</v>
      </c>
      <c r="F97" s="275">
        <v>45527.0</v>
      </c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</row>
    <row r="98" ht="15.75" customHeight="1">
      <c r="A98" s="266">
        <v>2024.0</v>
      </c>
      <c r="B98" s="267" t="s">
        <v>163</v>
      </c>
      <c r="C98" s="268" t="s">
        <v>195</v>
      </c>
      <c r="D98" s="276">
        <v>6477.44</v>
      </c>
      <c r="E98" s="274">
        <v>45444.0</v>
      </c>
      <c r="F98" s="275">
        <v>45534.0</v>
      </c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</row>
    <row r="99" ht="15.75" customHeight="1">
      <c r="A99" s="266">
        <v>2024.0</v>
      </c>
      <c r="B99" s="267" t="s">
        <v>163</v>
      </c>
      <c r="C99" s="268" t="s">
        <v>198</v>
      </c>
      <c r="D99" s="276">
        <v>382641.65</v>
      </c>
      <c r="E99" s="277">
        <v>45323.0</v>
      </c>
      <c r="F99" s="275">
        <v>45350.0</v>
      </c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</row>
    <row r="100" ht="15.75" customHeight="1">
      <c r="A100" s="266">
        <v>2024.0</v>
      </c>
      <c r="B100" s="267" t="s">
        <v>163</v>
      </c>
      <c r="C100" s="268" t="s">
        <v>198</v>
      </c>
      <c r="D100" s="276">
        <v>382641.66</v>
      </c>
      <c r="E100" s="277">
        <v>45292.0</v>
      </c>
      <c r="F100" s="275">
        <v>45350.0</v>
      </c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</row>
    <row r="101" ht="15.75" customHeight="1">
      <c r="A101" s="266">
        <v>2024.0</v>
      </c>
      <c r="B101" s="267" t="s">
        <v>163</v>
      </c>
      <c r="C101" s="268" t="s">
        <v>198</v>
      </c>
      <c r="D101" s="276">
        <v>382641.66</v>
      </c>
      <c r="E101" s="274">
        <v>45352.0</v>
      </c>
      <c r="F101" s="275">
        <v>45420.0</v>
      </c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</row>
    <row r="102" ht="15.75" customHeight="1">
      <c r="A102" s="266">
        <v>2024.0</v>
      </c>
      <c r="B102" s="267" t="s">
        <v>163</v>
      </c>
      <c r="C102" s="268" t="s">
        <v>198</v>
      </c>
      <c r="D102" s="276">
        <v>382641.65</v>
      </c>
      <c r="E102" s="277">
        <v>45413.0</v>
      </c>
      <c r="F102" s="275">
        <v>45429.0</v>
      </c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</row>
    <row r="103" ht="15.75" customHeight="1">
      <c r="A103" s="266">
        <v>2024.0</v>
      </c>
      <c r="B103" s="267" t="s">
        <v>163</v>
      </c>
      <c r="C103" s="268" t="s">
        <v>198</v>
      </c>
      <c r="D103" s="276">
        <v>382641.65</v>
      </c>
      <c r="E103" s="278" t="s">
        <v>192</v>
      </c>
      <c r="F103" s="275">
        <v>45429.0</v>
      </c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</row>
    <row r="104" ht="15.75" customHeight="1">
      <c r="A104" s="266">
        <v>2024.0</v>
      </c>
      <c r="B104" s="267" t="s">
        <v>163</v>
      </c>
      <c r="C104" s="268" t="s">
        <v>198</v>
      </c>
      <c r="D104" s="276">
        <v>382641.65</v>
      </c>
      <c r="E104" s="274">
        <v>45444.0</v>
      </c>
      <c r="F104" s="275">
        <v>45471.0</v>
      </c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</row>
    <row r="105" ht="15.75" customHeight="1">
      <c r="A105" s="266">
        <v>2024.0</v>
      </c>
      <c r="B105" s="267" t="s">
        <v>163</v>
      </c>
      <c r="C105" s="268" t="s">
        <v>198</v>
      </c>
      <c r="D105" s="276">
        <v>382641.66</v>
      </c>
      <c r="E105" s="274">
        <v>45474.0</v>
      </c>
      <c r="F105" s="275">
        <v>45492.0</v>
      </c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</row>
    <row r="106" ht="15.75" customHeight="1">
      <c r="A106" s="266">
        <v>2024.0</v>
      </c>
      <c r="B106" s="267" t="s">
        <v>163</v>
      </c>
      <c r="C106" s="268" t="s">
        <v>198</v>
      </c>
      <c r="D106" s="276">
        <v>382641.66</v>
      </c>
      <c r="E106" s="274">
        <v>45505.0</v>
      </c>
      <c r="F106" s="275">
        <v>45520.0</v>
      </c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</row>
    <row r="107" ht="15.75" customHeight="1">
      <c r="A107" s="266">
        <v>2024.0</v>
      </c>
      <c r="B107" s="267" t="s">
        <v>159</v>
      </c>
      <c r="C107" s="268" t="s">
        <v>199</v>
      </c>
      <c r="D107" s="276">
        <v>105344.7</v>
      </c>
      <c r="E107" s="274">
        <v>45352.0</v>
      </c>
      <c r="F107" s="275">
        <v>45401.0</v>
      </c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</row>
    <row r="108" ht="15.75" customHeight="1">
      <c r="A108" s="266">
        <v>2024.0</v>
      </c>
      <c r="B108" s="267" t="s">
        <v>159</v>
      </c>
      <c r="C108" s="268" t="s">
        <v>199</v>
      </c>
      <c r="D108" s="273">
        <v>105344.7</v>
      </c>
      <c r="E108" s="274">
        <v>45323.0</v>
      </c>
      <c r="F108" s="275">
        <v>45401.0</v>
      </c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</row>
    <row r="109" ht="15.75" customHeight="1">
      <c r="A109" s="266">
        <v>2024.0</v>
      </c>
      <c r="B109" s="267" t="s">
        <v>159</v>
      </c>
      <c r="C109" s="268" t="s">
        <v>199</v>
      </c>
      <c r="D109" s="276">
        <v>105344.7</v>
      </c>
      <c r="E109" s="277">
        <v>45292.0</v>
      </c>
      <c r="F109" s="275">
        <v>45401.0</v>
      </c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</row>
    <row r="110" ht="15.75" customHeight="1">
      <c r="A110" s="266">
        <v>2024.0</v>
      </c>
      <c r="B110" s="267" t="s">
        <v>159</v>
      </c>
      <c r="C110" s="268" t="s">
        <v>199</v>
      </c>
      <c r="D110" s="276">
        <v>105344.69</v>
      </c>
      <c r="E110" s="278" t="s">
        <v>192</v>
      </c>
      <c r="F110" s="275">
        <v>45429.0</v>
      </c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</row>
    <row r="111" ht="15.75" customHeight="1">
      <c r="A111" s="266">
        <v>2024.0</v>
      </c>
      <c r="B111" s="267" t="s">
        <v>159</v>
      </c>
      <c r="C111" s="268" t="s">
        <v>199</v>
      </c>
      <c r="D111" s="276">
        <v>105344.7</v>
      </c>
      <c r="E111" s="274">
        <v>45413.0</v>
      </c>
      <c r="F111" s="275">
        <v>45457.0</v>
      </c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</row>
    <row r="112" ht="15.75" customHeight="1">
      <c r="A112" s="266">
        <v>2024.0</v>
      </c>
      <c r="B112" s="267" t="s">
        <v>159</v>
      </c>
      <c r="C112" s="268" t="s">
        <v>199</v>
      </c>
      <c r="D112" s="276">
        <v>105344.7</v>
      </c>
      <c r="E112" s="277">
        <v>45474.0</v>
      </c>
      <c r="F112" s="275">
        <v>45492.0</v>
      </c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</row>
    <row r="113" ht="15.75" customHeight="1">
      <c r="A113" s="266">
        <v>2024.0</v>
      </c>
      <c r="B113" s="267" t="s">
        <v>159</v>
      </c>
      <c r="C113" s="268" t="s">
        <v>199</v>
      </c>
      <c r="D113" s="276">
        <v>105344.7</v>
      </c>
      <c r="E113" s="277">
        <v>45444.0</v>
      </c>
      <c r="F113" s="275">
        <v>45492.0</v>
      </c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</row>
    <row r="114" ht="15.75" customHeight="1">
      <c r="A114" s="266">
        <v>2024.0</v>
      </c>
      <c r="B114" s="267" t="s">
        <v>159</v>
      </c>
      <c r="C114" s="268" t="s">
        <v>199</v>
      </c>
      <c r="D114" s="276">
        <v>105344.7</v>
      </c>
      <c r="E114" s="277">
        <v>45505.0</v>
      </c>
      <c r="F114" s="275">
        <v>45527.0</v>
      </c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</row>
    <row r="115" ht="15.75" customHeight="1">
      <c r="A115" s="266">
        <v>2024.0</v>
      </c>
      <c r="B115" s="267" t="s">
        <v>163</v>
      </c>
      <c r="C115" s="268" t="s">
        <v>200</v>
      </c>
      <c r="D115" s="276">
        <v>60949.5</v>
      </c>
      <c r="E115" s="277">
        <v>45352.0</v>
      </c>
      <c r="F115" s="275">
        <v>45401.0</v>
      </c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</row>
    <row r="116" ht="15.75" customHeight="1">
      <c r="A116" s="266">
        <v>2024.0</v>
      </c>
      <c r="B116" s="267" t="s">
        <v>163</v>
      </c>
      <c r="C116" s="268" t="s">
        <v>200</v>
      </c>
      <c r="D116" s="276">
        <v>60949.5</v>
      </c>
      <c r="E116" s="277">
        <v>45323.0</v>
      </c>
      <c r="F116" s="275">
        <v>45401.0</v>
      </c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</row>
    <row r="117" ht="15.75" customHeight="1">
      <c r="A117" s="266">
        <v>2024.0</v>
      </c>
      <c r="B117" s="267" t="s">
        <v>163</v>
      </c>
      <c r="C117" s="268" t="s">
        <v>200</v>
      </c>
      <c r="D117" s="276">
        <v>60949.5</v>
      </c>
      <c r="E117" s="277">
        <v>45292.0</v>
      </c>
      <c r="F117" s="275">
        <v>45401.0</v>
      </c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</row>
    <row r="118" ht="15.75" customHeight="1">
      <c r="A118" s="266">
        <v>2024.0</v>
      </c>
      <c r="B118" s="267" t="s">
        <v>163</v>
      </c>
      <c r="C118" s="268" t="s">
        <v>200</v>
      </c>
      <c r="D118" s="276">
        <v>60949.5</v>
      </c>
      <c r="E118" s="277">
        <v>45413.0</v>
      </c>
      <c r="F118" s="275">
        <v>45429.0</v>
      </c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</row>
    <row r="119" ht="15.75" customHeight="1">
      <c r="A119" s="266">
        <v>2024.0</v>
      </c>
      <c r="B119" s="267" t="s">
        <v>163</v>
      </c>
      <c r="C119" s="268" t="s">
        <v>200</v>
      </c>
      <c r="D119" s="276">
        <v>60949.5</v>
      </c>
      <c r="E119" s="278" t="s">
        <v>192</v>
      </c>
      <c r="F119" s="275">
        <v>45429.0</v>
      </c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</row>
    <row r="120" ht="15.75" customHeight="1">
      <c r="A120" s="266">
        <v>2024.0</v>
      </c>
      <c r="B120" s="267" t="s">
        <v>163</v>
      </c>
      <c r="C120" s="268" t="s">
        <v>200</v>
      </c>
      <c r="D120" s="276">
        <v>60949.5</v>
      </c>
      <c r="E120" s="278" t="s">
        <v>197</v>
      </c>
      <c r="F120" s="275">
        <v>45457.0</v>
      </c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</row>
    <row r="121" ht="15.75" customHeight="1">
      <c r="A121" s="266">
        <v>2024.0</v>
      </c>
      <c r="B121" s="267" t="s">
        <v>163</v>
      </c>
      <c r="C121" s="268" t="s">
        <v>200</v>
      </c>
      <c r="D121" s="276">
        <v>60949.5</v>
      </c>
      <c r="E121" s="277">
        <v>45474.0</v>
      </c>
      <c r="F121" s="275">
        <v>45492.0</v>
      </c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</row>
    <row r="122" ht="15.75" customHeight="1">
      <c r="A122" s="266">
        <v>2024.0</v>
      </c>
      <c r="B122" s="267" t="s">
        <v>163</v>
      </c>
      <c r="C122" s="268" t="s">
        <v>200</v>
      </c>
      <c r="D122" s="276">
        <v>60949.5</v>
      </c>
      <c r="E122" s="277">
        <v>45505.0</v>
      </c>
      <c r="F122" s="275">
        <v>45520.0</v>
      </c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</row>
    <row r="123" ht="15.75" customHeight="1">
      <c r="A123" s="266">
        <v>2024.0</v>
      </c>
      <c r="B123" s="267" t="s">
        <v>163</v>
      </c>
      <c r="C123" s="268" t="s">
        <v>172</v>
      </c>
      <c r="D123" s="276">
        <v>205714.56</v>
      </c>
      <c r="E123" s="277">
        <v>45231.0</v>
      </c>
      <c r="F123" s="275">
        <v>45394.0</v>
      </c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</row>
    <row r="124" ht="15.75" customHeight="1">
      <c r="A124" s="266">
        <v>2024.0</v>
      </c>
      <c r="B124" s="267" t="s">
        <v>163</v>
      </c>
      <c r="C124" s="268" t="s">
        <v>172</v>
      </c>
      <c r="D124" s="276">
        <v>183266.88</v>
      </c>
      <c r="E124" s="274">
        <v>45261.0</v>
      </c>
      <c r="F124" s="275">
        <v>45394.0</v>
      </c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</row>
    <row r="125" ht="15.75" customHeight="1">
      <c r="A125" s="266">
        <v>2024.0</v>
      </c>
      <c r="B125" s="267" t="s">
        <v>159</v>
      </c>
      <c r="C125" s="268" t="s">
        <v>201</v>
      </c>
      <c r="D125" s="276">
        <v>27267.65</v>
      </c>
      <c r="E125" s="274">
        <v>45261.0</v>
      </c>
      <c r="F125" s="275">
        <v>45429.0</v>
      </c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</row>
    <row r="126" ht="15.75" customHeight="1">
      <c r="A126" s="266">
        <v>2024.0</v>
      </c>
      <c r="B126" s="267" t="s">
        <v>159</v>
      </c>
      <c r="C126" s="268" t="s">
        <v>201</v>
      </c>
      <c r="D126" s="276">
        <v>27267.65</v>
      </c>
      <c r="E126" s="277">
        <v>45413.0</v>
      </c>
      <c r="F126" s="275">
        <v>45457.0</v>
      </c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</row>
    <row r="127" ht="15.75" customHeight="1">
      <c r="A127" s="266">
        <v>2024.0</v>
      </c>
      <c r="B127" s="267" t="s">
        <v>159</v>
      </c>
      <c r="C127" s="268" t="s">
        <v>202</v>
      </c>
      <c r="D127" s="276">
        <v>27267.65</v>
      </c>
      <c r="E127" s="278" t="s">
        <v>192</v>
      </c>
      <c r="F127" s="275">
        <v>45457.0</v>
      </c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</row>
    <row r="128" ht="15.75" customHeight="1">
      <c r="A128" s="266">
        <v>2024.0</v>
      </c>
      <c r="B128" s="267" t="s">
        <v>159</v>
      </c>
      <c r="C128" s="268" t="s">
        <v>201</v>
      </c>
      <c r="D128" s="276">
        <v>27267.65</v>
      </c>
      <c r="E128" s="277">
        <v>45352.0</v>
      </c>
      <c r="F128" s="275">
        <v>45457.0</v>
      </c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</row>
    <row r="129" ht="15.75" customHeight="1">
      <c r="A129" s="266">
        <v>2024.0</v>
      </c>
      <c r="B129" s="267" t="s">
        <v>159</v>
      </c>
      <c r="C129" s="268" t="s">
        <v>201</v>
      </c>
      <c r="D129" s="276">
        <v>27267.65</v>
      </c>
      <c r="E129" s="278" t="s">
        <v>196</v>
      </c>
      <c r="F129" s="275">
        <v>45457.0</v>
      </c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</row>
    <row r="130" ht="15.75" customHeight="1">
      <c r="A130" s="266">
        <v>2024.0</v>
      </c>
      <c r="B130" s="267" t="s">
        <v>159</v>
      </c>
      <c r="C130" s="268" t="s">
        <v>202</v>
      </c>
      <c r="D130" s="276">
        <v>27267.65</v>
      </c>
      <c r="E130" s="286" t="s">
        <v>203</v>
      </c>
      <c r="F130" s="275">
        <v>45457.0</v>
      </c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</row>
    <row r="131" ht="15.75" customHeight="1">
      <c r="A131" s="266">
        <v>2024.0</v>
      </c>
      <c r="B131" s="267" t="s">
        <v>159</v>
      </c>
      <c r="C131" s="268" t="s">
        <v>201</v>
      </c>
      <c r="D131" s="276">
        <v>27267.65</v>
      </c>
      <c r="E131" s="274">
        <v>45474.0</v>
      </c>
      <c r="F131" s="275">
        <v>45492.0</v>
      </c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</row>
    <row r="132" ht="15.75" customHeight="1">
      <c r="A132" s="266">
        <v>2024.0</v>
      </c>
      <c r="B132" s="267" t="s">
        <v>159</v>
      </c>
      <c r="C132" s="268" t="s">
        <v>201</v>
      </c>
      <c r="D132" s="276">
        <v>27267.65</v>
      </c>
      <c r="E132" s="277">
        <v>45444.0</v>
      </c>
      <c r="F132" s="275">
        <v>45492.0</v>
      </c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</row>
    <row r="133" ht="15.75" customHeight="1">
      <c r="A133" s="266">
        <v>2024.0</v>
      </c>
      <c r="B133" s="267" t="s">
        <v>159</v>
      </c>
      <c r="C133" s="268" t="s">
        <v>202</v>
      </c>
      <c r="D133" s="276">
        <v>27267.65</v>
      </c>
      <c r="E133" s="277">
        <v>45505.0</v>
      </c>
      <c r="F133" s="275">
        <v>45527.0</v>
      </c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</row>
    <row r="134" ht="15.75" customHeight="1">
      <c r="A134" s="266">
        <v>2024.0</v>
      </c>
      <c r="B134" s="267" t="s">
        <v>159</v>
      </c>
      <c r="C134" s="268" t="s">
        <v>204</v>
      </c>
      <c r="D134" s="276">
        <v>105344.7</v>
      </c>
      <c r="E134" s="278" t="s">
        <v>170</v>
      </c>
      <c r="F134" s="275">
        <v>45429.0</v>
      </c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</row>
    <row r="135" ht="15.75" customHeight="1">
      <c r="A135" s="266">
        <v>2024.0</v>
      </c>
      <c r="B135" s="267" t="s">
        <v>163</v>
      </c>
      <c r="C135" s="268" t="s">
        <v>189</v>
      </c>
      <c r="D135" s="276">
        <v>428791.67</v>
      </c>
      <c r="E135" s="277">
        <v>45536.0</v>
      </c>
      <c r="F135" s="275">
        <v>45576.0</v>
      </c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</row>
    <row r="136" ht="15.75" customHeight="1">
      <c r="A136" s="266">
        <v>2024.0</v>
      </c>
      <c r="B136" s="267" t="s">
        <v>163</v>
      </c>
      <c r="C136" s="268" t="s">
        <v>195</v>
      </c>
      <c r="D136" s="276">
        <v>191531.2</v>
      </c>
      <c r="E136" s="277">
        <v>45474.0</v>
      </c>
      <c r="F136" s="275">
        <v>45555.0</v>
      </c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</row>
    <row r="137" ht="15.75" customHeight="1">
      <c r="A137" s="266">
        <v>2024.0</v>
      </c>
      <c r="B137" s="267" t="s">
        <v>163</v>
      </c>
      <c r="C137" s="268" t="s">
        <v>195</v>
      </c>
      <c r="D137" s="276">
        <v>204374.4</v>
      </c>
      <c r="E137" s="277">
        <v>45505.0</v>
      </c>
      <c r="F137" s="275">
        <v>45618.0</v>
      </c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</row>
    <row r="138" ht="15.75" customHeight="1">
      <c r="A138" s="266">
        <v>2024.0</v>
      </c>
      <c r="B138" s="267" t="s">
        <v>163</v>
      </c>
      <c r="C138" s="268" t="s">
        <v>195</v>
      </c>
      <c r="D138" s="276">
        <v>181368.32</v>
      </c>
      <c r="E138" s="277">
        <v>45536.0</v>
      </c>
      <c r="F138" s="275">
        <v>45618.0</v>
      </c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</row>
    <row r="139" ht="15.75" customHeight="1">
      <c r="A139" s="266">
        <v>2024.0</v>
      </c>
      <c r="B139" s="267" t="s">
        <v>163</v>
      </c>
      <c r="C139" s="268" t="s">
        <v>198</v>
      </c>
      <c r="D139" s="276">
        <v>382641.66</v>
      </c>
      <c r="E139" s="277">
        <v>45536.0</v>
      </c>
      <c r="F139" s="275">
        <v>45576.0</v>
      </c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</row>
    <row r="140" ht="15.75" customHeight="1">
      <c r="A140" s="266">
        <v>2024.0</v>
      </c>
      <c r="B140" s="267" t="s">
        <v>163</v>
      </c>
      <c r="C140" s="268" t="s">
        <v>198</v>
      </c>
      <c r="D140" s="276">
        <v>382641.66</v>
      </c>
      <c r="E140" s="277">
        <v>45566.0</v>
      </c>
      <c r="F140" s="275">
        <v>45576.0</v>
      </c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</row>
    <row r="141" ht="15.75" customHeight="1">
      <c r="A141" s="266">
        <v>2024.0</v>
      </c>
      <c r="B141" s="267" t="s">
        <v>159</v>
      </c>
      <c r="C141" s="268" t="s">
        <v>204</v>
      </c>
      <c r="D141" s="276">
        <v>105344.7</v>
      </c>
      <c r="E141" s="277">
        <v>45352.0</v>
      </c>
      <c r="F141" s="275">
        <v>45401.0</v>
      </c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</row>
    <row r="142" ht="15.75" customHeight="1">
      <c r="A142" s="266">
        <v>2024.0</v>
      </c>
      <c r="B142" s="267" t="s">
        <v>159</v>
      </c>
      <c r="C142" s="268" t="s">
        <v>204</v>
      </c>
      <c r="D142" s="276">
        <v>105344.7</v>
      </c>
      <c r="E142" s="277">
        <v>45323.0</v>
      </c>
      <c r="F142" s="275">
        <v>45401.0</v>
      </c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</row>
    <row r="143" ht="15.75" customHeight="1">
      <c r="A143" s="266">
        <v>2024.0</v>
      </c>
      <c r="B143" s="267" t="s">
        <v>159</v>
      </c>
      <c r="C143" s="268" t="s">
        <v>204</v>
      </c>
      <c r="D143" s="276">
        <v>105344.7</v>
      </c>
      <c r="E143" s="277">
        <v>45292.0</v>
      </c>
      <c r="F143" s="275">
        <v>45401.0</v>
      </c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</row>
    <row r="144" ht="15.75" customHeight="1">
      <c r="A144" s="266">
        <v>2024.0</v>
      </c>
      <c r="B144" s="267" t="s">
        <v>159</v>
      </c>
      <c r="C144" s="268" t="s">
        <v>204</v>
      </c>
      <c r="D144" s="276">
        <v>105344.69</v>
      </c>
      <c r="E144" s="277">
        <v>45383.0</v>
      </c>
      <c r="F144" s="275">
        <v>45429.0</v>
      </c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</row>
    <row r="145" ht="15.75" customHeight="1">
      <c r="A145" s="266">
        <v>2024.0</v>
      </c>
      <c r="B145" s="267" t="s">
        <v>159</v>
      </c>
      <c r="C145" s="268" t="s">
        <v>204</v>
      </c>
      <c r="D145" s="276">
        <v>105344.7</v>
      </c>
      <c r="E145" s="277">
        <v>45413.0</v>
      </c>
      <c r="F145" s="275">
        <v>45457.0</v>
      </c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</row>
    <row r="146" ht="15.75" customHeight="1">
      <c r="A146" s="266">
        <v>2024.0</v>
      </c>
      <c r="B146" s="267" t="s">
        <v>159</v>
      </c>
      <c r="C146" s="268" t="s">
        <v>204</v>
      </c>
      <c r="D146" s="276">
        <v>105344.7</v>
      </c>
      <c r="E146" s="277">
        <v>45474.0</v>
      </c>
      <c r="F146" s="275">
        <v>45492.0</v>
      </c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</row>
    <row r="147" ht="15.75" customHeight="1">
      <c r="A147" s="266">
        <v>2024.0</v>
      </c>
      <c r="B147" s="267" t="s">
        <v>159</v>
      </c>
      <c r="C147" s="268" t="s">
        <v>204</v>
      </c>
      <c r="D147" s="276">
        <v>105344.7</v>
      </c>
      <c r="E147" s="277">
        <v>45444.0</v>
      </c>
      <c r="F147" s="275">
        <v>45492.0</v>
      </c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</row>
    <row r="148" ht="15.75" customHeight="1">
      <c r="A148" s="266">
        <v>2024.0</v>
      </c>
      <c r="B148" s="267" t="s">
        <v>159</v>
      </c>
      <c r="C148" s="268" t="s">
        <v>204</v>
      </c>
      <c r="D148" s="276">
        <v>105344.7</v>
      </c>
      <c r="E148" s="277">
        <v>45505.0</v>
      </c>
      <c r="F148" s="275">
        <v>45527.0</v>
      </c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</row>
    <row r="149" ht="15.75" customHeight="1">
      <c r="A149" s="266">
        <v>2024.0</v>
      </c>
      <c r="B149" s="267" t="s">
        <v>159</v>
      </c>
      <c r="C149" s="268" t="s">
        <v>204</v>
      </c>
      <c r="D149" s="276">
        <v>105344.7</v>
      </c>
      <c r="E149" s="277">
        <v>45566.0</v>
      </c>
      <c r="F149" s="275">
        <v>45583.0</v>
      </c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</row>
    <row r="150" ht="15.75" customHeight="1">
      <c r="A150" s="266">
        <v>2024.0</v>
      </c>
      <c r="B150" s="267" t="s">
        <v>159</v>
      </c>
      <c r="C150" s="268" t="s">
        <v>204</v>
      </c>
      <c r="D150" s="276">
        <v>105344.7</v>
      </c>
      <c r="E150" s="277">
        <v>45536.0</v>
      </c>
      <c r="F150" s="275">
        <v>45586.0</v>
      </c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</row>
    <row r="151" ht="15.75" customHeight="1">
      <c r="A151" s="266">
        <v>2024.0</v>
      </c>
      <c r="B151" s="267" t="s">
        <v>163</v>
      </c>
      <c r="C151" s="268" t="s">
        <v>200</v>
      </c>
      <c r="D151" s="276">
        <v>60949.5</v>
      </c>
      <c r="E151" s="277">
        <v>45352.0</v>
      </c>
      <c r="F151" s="275">
        <v>45401.0</v>
      </c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</row>
    <row r="152" ht="15.75" customHeight="1">
      <c r="A152" s="266">
        <v>2024.0</v>
      </c>
      <c r="B152" s="267" t="s">
        <v>163</v>
      </c>
      <c r="C152" s="268" t="s">
        <v>200</v>
      </c>
      <c r="D152" s="276">
        <v>60949.5</v>
      </c>
      <c r="E152" s="277">
        <v>45323.0</v>
      </c>
      <c r="F152" s="275">
        <v>45401.0</v>
      </c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</row>
    <row r="153" ht="15.75" customHeight="1">
      <c r="A153" s="266">
        <v>2024.0</v>
      </c>
      <c r="B153" s="267" t="s">
        <v>163</v>
      </c>
      <c r="C153" s="268" t="s">
        <v>200</v>
      </c>
      <c r="D153" s="276">
        <v>60949.5</v>
      </c>
      <c r="E153" s="277">
        <v>45292.0</v>
      </c>
      <c r="F153" s="275">
        <v>45401.0</v>
      </c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</row>
    <row r="154" ht="15.75" customHeight="1">
      <c r="A154" s="266">
        <v>2024.0</v>
      </c>
      <c r="B154" s="267" t="s">
        <v>163</v>
      </c>
      <c r="C154" s="268" t="s">
        <v>200</v>
      </c>
      <c r="D154" s="276">
        <v>60949.5</v>
      </c>
      <c r="E154" s="277">
        <v>45413.0</v>
      </c>
      <c r="F154" s="275">
        <v>45429.0</v>
      </c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</row>
    <row r="155" ht="15.75" customHeight="1">
      <c r="A155" s="266">
        <v>2024.0</v>
      </c>
      <c r="B155" s="267" t="s">
        <v>163</v>
      </c>
      <c r="C155" s="268" t="s">
        <v>200</v>
      </c>
      <c r="D155" s="276">
        <v>60949.5</v>
      </c>
      <c r="E155" s="277">
        <v>45383.0</v>
      </c>
      <c r="F155" s="275">
        <v>45429.0</v>
      </c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</row>
    <row r="156" ht="15.75" customHeight="1">
      <c r="A156" s="266">
        <v>2024.0</v>
      </c>
      <c r="B156" s="267" t="s">
        <v>163</v>
      </c>
      <c r="C156" s="268" t="s">
        <v>200</v>
      </c>
      <c r="D156" s="276">
        <v>60949.5</v>
      </c>
      <c r="E156" s="277">
        <v>45444.0</v>
      </c>
      <c r="F156" s="275">
        <v>45457.0</v>
      </c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</row>
    <row r="157" ht="15.75" customHeight="1">
      <c r="A157" s="266">
        <v>2024.0</v>
      </c>
      <c r="B157" s="267" t="s">
        <v>163</v>
      </c>
      <c r="C157" s="268" t="s">
        <v>200</v>
      </c>
      <c r="D157" s="276">
        <v>60949.5</v>
      </c>
      <c r="E157" s="277">
        <v>45474.0</v>
      </c>
      <c r="F157" s="275">
        <v>45492.0</v>
      </c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</row>
    <row r="158" ht="15.75" customHeight="1">
      <c r="A158" s="266">
        <v>2024.0</v>
      </c>
      <c r="B158" s="267" t="s">
        <v>163</v>
      </c>
      <c r="C158" s="268" t="s">
        <v>200</v>
      </c>
      <c r="D158" s="276">
        <v>60949.5</v>
      </c>
      <c r="E158" s="277">
        <v>45505.0</v>
      </c>
      <c r="F158" s="275">
        <v>45520.0</v>
      </c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</row>
    <row r="159" ht="15.75" customHeight="1">
      <c r="A159" s="266">
        <v>2024.0</v>
      </c>
      <c r="B159" s="267" t="s">
        <v>163</v>
      </c>
      <c r="C159" s="268" t="s">
        <v>200</v>
      </c>
      <c r="D159" s="276">
        <v>60949.5</v>
      </c>
      <c r="E159" s="277">
        <v>45536.0</v>
      </c>
      <c r="F159" s="275">
        <v>45576.0</v>
      </c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</row>
    <row r="160" ht="15.75" customHeight="1">
      <c r="A160" s="266">
        <v>2024.0</v>
      </c>
      <c r="B160" s="267" t="s">
        <v>163</v>
      </c>
      <c r="C160" s="268" t="s">
        <v>200</v>
      </c>
      <c r="D160" s="276">
        <v>60949.5</v>
      </c>
      <c r="E160" s="277">
        <v>45566.0</v>
      </c>
      <c r="F160" s="275">
        <v>45583.0</v>
      </c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</row>
    <row r="161" ht="15.75" customHeight="1">
      <c r="A161" s="266">
        <v>2024.0</v>
      </c>
      <c r="B161" s="267" t="s">
        <v>163</v>
      </c>
      <c r="C161" s="268" t="s">
        <v>200</v>
      </c>
      <c r="D161" s="276">
        <v>60949.5</v>
      </c>
      <c r="E161" s="277">
        <v>45597.0</v>
      </c>
      <c r="F161" s="275">
        <v>45653.0</v>
      </c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</row>
    <row r="162" ht="15.75" customHeight="1">
      <c r="A162" s="266">
        <v>2024.0</v>
      </c>
      <c r="B162" s="267" t="s">
        <v>163</v>
      </c>
      <c r="C162" s="268" t="s">
        <v>200</v>
      </c>
      <c r="D162" s="276">
        <v>60949.5</v>
      </c>
      <c r="E162" s="277">
        <v>45627.0</v>
      </c>
      <c r="F162" s="275">
        <v>45653.0</v>
      </c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</row>
    <row r="163" ht="15.75" customHeight="1">
      <c r="A163" s="266">
        <v>2024.0</v>
      </c>
      <c r="B163" s="267" t="s">
        <v>163</v>
      </c>
      <c r="C163" s="268" t="s">
        <v>171</v>
      </c>
      <c r="D163" s="276">
        <v>205714.56</v>
      </c>
      <c r="E163" s="277">
        <v>45231.0</v>
      </c>
      <c r="F163" s="275">
        <v>45394.0</v>
      </c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</row>
    <row r="164" ht="15.75" customHeight="1">
      <c r="A164" s="266">
        <v>2024.0</v>
      </c>
      <c r="B164" s="267" t="s">
        <v>163</v>
      </c>
      <c r="C164" s="268" t="s">
        <v>171</v>
      </c>
      <c r="D164" s="276">
        <v>183266.88</v>
      </c>
      <c r="E164" s="277">
        <v>45261.0</v>
      </c>
      <c r="F164" s="275">
        <v>45394.0</v>
      </c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</row>
    <row r="165" ht="15.75" customHeight="1">
      <c r="A165" s="266">
        <v>2024.0</v>
      </c>
      <c r="B165" s="267" t="s">
        <v>159</v>
      </c>
      <c r="C165" s="268" t="s">
        <v>185</v>
      </c>
      <c r="D165" s="276">
        <v>27267.65</v>
      </c>
      <c r="E165" s="277">
        <v>45627.0</v>
      </c>
      <c r="F165" s="275">
        <v>45429.0</v>
      </c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</row>
    <row r="166" ht="15.75" customHeight="1">
      <c r="A166" s="266">
        <v>2024.0</v>
      </c>
      <c r="B166" s="267" t="s">
        <v>163</v>
      </c>
      <c r="C166" s="268" t="s">
        <v>205</v>
      </c>
      <c r="D166" s="276">
        <v>580696.0</v>
      </c>
      <c r="E166" s="287">
        <v>2024.0</v>
      </c>
      <c r="F166" s="275" t="s">
        <v>206</v>
      </c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</row>
    <row r="167" ht="15.75" customHeight="1">
      <c r="A167" s="266">
        <v>2024.0</v>
      </c>
      <c r="B167" s="267" t="s">
        <v>159</v>
      </c>
      <c r="C167" s="268" t="s">
        <v>202</v>
      </c>
      <c r="D167" s="276">
        <v>27267.65</v>
      </c>
      <c r="E167" s="277">
        <v>45536.0</v>
      </c>
      <c r="F167" s="275">
        <v>45602.0</v>
      </c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</row>
    <row r="168" ht="15.75" customHeight="1">
      <c r="A168" s="266">
        <v>2024.0</v>
      </c>
      <c r="B168" s="267" t="s">
        <v>159</v>
      </c>
      <c r="C168" s="268" t="s">
        <v>202</v>
      </c>
      <c r="D168" s="276">
        <v>27267.65</v>
      </c>
      <c r="E168" s="277">
        <v>45566.0</v>
      </c>
      <c r="F168" s="275">
        <v>45653.0</v>
      </c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</row>
    <row r="169" ht="15.75" customHeight="1">
      <c r="A169" s="266">
        <v>2024.0</v>
      </c>
      <c r="B169" s="267" t="s">
        <v>163</v>
      </c>
      <c r="C169" s="268" t="s">
        <v>177</v>
      </c>
      <c r="D169" s="276">
        <v>105344.7</v>
      </c>
      <c r="E169" s="277">
        <v>45261.0</v>
      </c>
      <c r="F169" s="275">
        <v>45429.0</v>
      </c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</row>
    <row r="170" ht="15.75" customHeight="1">
      <c r="A170" s="266">
        <v>2024.0</v>
      </c>
      <c r="B170" s="267" t="s">
        <v>159</v>
      </c>
      <c r="C170" s="268" t="s">
        <v>207</v>
      </c>
      <c r="D170" s="276">
        <v>246100.0</v>
      </c>
      <c r="E170" s="287">
        <v>2024.0</v>
      </c>
      <c r="F170" s="275" t="s">
        <v>206</v>
      </c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</row>
    <row r="171" ht="15.75" customHeight="1">
      <c r="A171" s="266">
        <v>2025.0</v>
      </c>
      <c r="B171" s="267" t="s">
        <v>163</v>
      </c>
      <c r="C171" s="268" t="s">
        <v>189</v>
      </c>
      <c r="D171" s="276">
        <v>428791.67</v>
      </c>
      <c r="E171" s="277">
        <v>45627.0</v>
      </c>
      <c r="F171" s="275">
        <v>45673.0</v>
      </c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</row>
    <row r="172" ht="15.75" customHeight="1">
      <c r="A172" s="266">
        <v>2025.0</v>
      </c>
      <c r="B172" s="267" t="s">
        <v>163</v>
      </c>
      <c r="C172" s="268" t="s">
        <v>189</v>
      </c>
      <c r="D172" s="276">
        <v>428791.67</v>
      </c>
      <c r="E172" s="277">
        <v>45597.0</v>
      </c>
      <c r="F172" s="275">
        <v>45763.0</v>
      </c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</row>
    <row r="173" ht="15.75" customHeight="1">
      <c r="A173" s="266">
        <v>2025.0</v>
      </c>
      <c r="B173" s="267" t="s">
        <v>163</v>
      </c>
      <c r="C173" s="268" t="s">
        <v>195</v>
      </c>
      <c r="D173" s="276">
        <v>201805.76</v>
      </c>
      <c r="E173" s="277">
        <v>45566.0</v>
      </c>
      <c r="F173" s="275">
        <v>45673.0</v>
      </c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</row>
    <row r="174" ht="15.75" customHeight="1">
      <c r="A174" s="266">
        <v>2025.0</v>
      </c>
      <c r="B174" s="267" t="s">
        <v>163</v>
      </c>
      <c r="C174" s="268" t="s">
        <v>174</v>
      </c>
      <c r="D174" s="276">
        <v>382641.66</v>
      </c>
      <c r="E174" s="277">
        <v>45597.0</v>
      </c>
      <c r="F174" s="275">
        <v>45673.0</v>
      </c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</row>
    <row r="175" ht="15.75" customHeight="1">
      <c r="A175" s="266">
        <v>2025.0</v>
      </c>
      <c r="B175" s="267" t="s">
        <v>163</v>
      </c>
      <c r="C175" s="268" t="s">
        <v>174</v>
      </c>
      <c r="D175" s="276">
        <v>382641.66</v>
      </c>
      <c r="E175" s="277">
        <v>45627.0</v>
      </c>
      <c r="F175" s="275">
        <v>45673.0</v>
      </c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</row>
    <row r="176" ht="15.75" customHeight="1">
      <c r="A176" s="266">
        <v>2025.0</v>
      </c>
      <c r="B176" s="267" t="s">
        <v>159</v>
      </c>
      <c r="C176" s="268" t="s">
        <v>202</v>
      </c>
      <c r="D176" s="276">
        <v>27267.65</v>
      </c>
      <c r="E176" s="277">
        <v>45597.0</v>
      </c>
      <c r="F176" s="275">
        <v>45695.0</v>
      </c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</row>
    <row r="177" ht="15.75" customHeight="1">
      <c r="A177" s="266">
        <v>2025.0</v>
      </c>
      <c r="B177" s="267" t="s">
        <v>159</v>
      </c>
      <c r="C177" s="268" t="s">
        <v>202</v>
      </c>
      <c r="D177" s="276">
        <v>27267.65</v>
      </c>
      <c r="E177" s="277">
        <v>45992.0</v>
      </c>
      <c r="F177" s="275">
        <v>45695.0</v>
      </c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</row>
    <row r="178" ht="15.75" customHeight="1">
      <c r="A178" s="266">
        <v>2025.0</v>
      </c>
      <c r="B178" s="267" t="s">
        <v>163</v>
      </c>
      <c r="C178" s="268" t="s">
        <v>205</v>
      </c>
      <c r="D178" s="276">
        <v>580696.0</v>
      </c>
      <c r="E178" s="287">
        <v>2025.0</v>
      </c>
      <c r="F178" s="275" t="s">
        <v>206</v>
      </c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</row>
    <row r="179" ht="15.75" customHeight="1">
      <c r="A179" s="266">
        <v>2025.0</v>
      </c>
      <c r="B179" s="267" t="s">
        <v>163</v>
      </c>
      <c r="C179" s="268" t="s">
        <v>205</v>
      </c>
      <c r="D179" s="276">
        <v>580696.0</v>
      </c>
      <c r="E179" s="287">
        <v>2025.0</v>
      </c>
      <c r="F179" s="275">
        <v>45705.0</v>
      </c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</row>
    <row r="180" ht="15.75" customHeight="1">
      <c r="A180" s="266">
        <v>2025.0</v>
      </c>
      <c r="B180" s="267" t="s">
        <v>159</v>
      </c>
      <c r="C180" s="268" t="s">
        <v>207</v>
      </c>
      <c r="D180" s="276">
        <v>246100.0</v>
      </c>
      <c r="E180" s="287">
        <v>2025.0</v>
      </c>
      <c r="F180" s="275" t="s">
        <v>206</v>
      </c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</row>
    <row r="181" ht="15.75" customHeight="1">
      <c r="A181" s="266">
        <v>2025.0</v>
      </c>
      <c r="B181" s="267" t="s">
        <v>163</v>
      </c>
      <c r="C181" s="268" t="s">
        <v>208</v>
      </c>
      <c r="D181" s="276">
        <v>428791.67</v>
      </c>
      <c r="E181" s="277">
        <v>45658.0</v>
      </c>
      <c r="F181" s="275">
        <v>45681.0</v>
      </c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</row>
    <row r="182" ht="15.75" customHeight="1">
      <c r="A182" s="266">
        <v>2025.0</v>
      </c>
      <c r="B182" s="267" t="s">
        <v>163</v>
      </c>
      <c r="C182" s="268" t="s">
        <v>208</v>
      </c>
      <c r="D182" s="276">
        <v>428791.67</v>
      </c>
      <c r="E182" s="277">
        <v>45689.0</v>
      </c>
      <c r="F182" s="275">
        <v>45702.0</v>
      </c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</row>
    <row r="183" ht="15.75" customHeight="1">
      <c r="A183" s="266">
        <v>2025.0</v>
      </c>
      <c r="B183" s="267" t="s">
        <v>163</v>
      </c>
      <c r="C183" s="268" t="s">
        <v>209</v>
      </c>
      <c r="D183" s="276">
        <v>382641.66</v>
      </c>
      <c r="E183" s="277">
        <v>45658.0</v>
      </c>
      <c r="F183" s="275">
        <v>45673.0</v>
      </c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</row>
    <row r="184" ht="15.75" customHeight="1">
      <c r="A184" s="266">
        <v>2025.0</v>
      </c>
      <c r="B184" s="267" t="s">
        <v>163</v>
      </c>
      <c r="C184" s="268" t="s">
        <v>209</v>
      </c>
      <c r="D184" s="276">
        <v>382641.66</v>
      </c>
      <c r="E184" s="277">
        <v>45689.0</v>
      </c>
      <c r="F184" s="275">
        <v>45709.0</v>
      </c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</row>
    <row r="185" ht="15.75" customHeight="1">
      <c r="A185" s="266">
        <v>2025.0</v>
      </c>
      <c r="B185" s="267" t="s">
        <v>163</v>
      </c>
      <c r="C185" s="268" t="s">
        <v>210</v>
      </c>
      <c r="D185" s="276">
        <v>218557.76</v>
      </c>
      <c r="E185" s="277">
        <v>45658.0</v>
      </c>
      <c r="F185" s="275">
        <v>45749.0</v>
      </c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</row>
    <row r="186" ht="15.75" customHeight="1">
      <c r="A186" s="266">
        <v>2025.0</v>
      </c>
      <c r="B186" s="267" t="s">
        <v>163</v>
      </c>
      <c r="C186" s="268" t="s">
        <v>195</v>
      </c>
      <c r="D186" s="276">
        <v>197673.6</v>
      </c>
      <c r="E186" s="277">
        <v>45597.0</v>
      </c>
      <c r="F186" s="275">
        <v>45737.0</v>
      </c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</row>
    <row r="187" ht="15.75" customHeight="1">
      <c r="A187" s="266">
        <v>2025.0</v>
      </c>
      <c r="B187" s="267" t="s">
        <v>163</v>
      </c>
      <c r="C187" s="268" t="s">
        <v>200</v>
      </c>
      <c r="D187" s="276">
        <v>61612.91</v>
      </c>
      <c r="E187" s="277">
        <v>45658.0</v>
      </c>
      <c r="F187" s="275">
        <v>45730.0</v>
      </c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</row>
    <row r="188" ht="15.75" customHeight="1">
      <c r="A188" s="266">
        <v>2025.0</v>
      </c>
      <c r="B188" s="267" t="s">
        <v>163</v>
      </c>
      <c r="C188" s="268" t="s">
        <v>200</v>
      </c>
      <c r="D188" s="276">
        <v>61612.91</v>
      </c>
      <c r="E188" s="277">
        <v>45689.0</v>
      </c>
      <c r="F188" s="275">
        <v>45730.0</v>
      </c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</row>
    <row r="189" ht="15.75" customHeight="1">
      <c r="A189" s="266">
        <v>2025.0</v>
      </c>
      <c r="B189" s="267" t="s">
        <v>163</v>
      </c>
      <c r="C189" s="268" t="s">
        <v>177</v>
      </c>
      <c r="D189" s="276">
        <v>131490.89</v>
      </c>
      <c r="E189" s="277">
        <v>45658.0</v>
      </c>
      <c r="F189" s="275">
        <v>45749.0</v>
      </c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</row>
    <row r="190" ht="15.75" customHeight="1">
      <c r="A190" s="266">
        <v>2025.0</v>
      </c>
      <c r="B190" s="267" t="s">
        <v>163</v>
      </c>
      <c r="C190" s="268" t="s">
        <v>195</v>
      </c>
      <c r="D190" s="276">
        <v>230060.8</v>
      </c>
      <c r="E190" s="277">
        <v>45627.0</v>
      </c>
      <c r="F190" s="275">
        <v>45737.0</v>
      </c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</row>
    <row r="191" ht="15.75" customHeight="1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ht="15.75" customHeight="1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ht="15.75" customHeight="1">
      <c r="A193" s="265"/>
      <c r="B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ht="15.75" customHeight="1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ht="15.75" customHeight="1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ht="15.75" customHeight="1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ht="15.75" customHeight="1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ht="15.75" customHeight="1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ht="15.75" customHeight="1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ht="15.75" customHeight="1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ht="15.75" customHeight="1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ht="15.75" customHeight="1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ht="15.75" customHeight="1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ht="15.75" customHeight="1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ht="15.75" customHeight="1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ht="15.75" customHeight="1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ht="15.75" customHeight="1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ht="15.75" customHeight="1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ht="15.75" customHeight="1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ht="15.75" customHeight="1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ht="15.75" customHeight="1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ht="15.75" customHeight="1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ht="15.75" customHeight="1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ht="15.75" customHeight="1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ht="15.75" customHeight="1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ht="15.75" customHeight="1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ht="15.75" customHeight="1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ht="15.75" customHeight="1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ht="15.75" customHeight="1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ht="15.75" customHeight="1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ht="15.75" customHeight="1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ht="15.75" customHeight="1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ht="15.75" customHeight="1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ht="15.75" customHeight="1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ht="15.75" customHeight="1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ht="15.75" customHeight="1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ht="15.75" customHeight="1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ht="15.75" customHeight="1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ht="15.75" customHeight="1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ht="15.75" customHeight="1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ht="15.75" customHeight="1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ht="15.75" customHeight="1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ht="15.75" customHeight="1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ht="15.75" customHeight="1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ht="15.75" customHeight="1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ht="15.75" customHeight="1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ht="15.75" customHeight="1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ht="15.75" customHeight="1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ht="15.75" customHeight="1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ht="15.75" customHeight="1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ht="15.75" customHeight="1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ht="15.75" customHeight="1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ht="15.75" customHeight="1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ht="15.75" customHeight="1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ht="15.75" customHeight="1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ht="15.75" customHeight="1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ht="15.75" customHeight="1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ht="15.75" customHeight="1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ht="15.75" customHeight="1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ht="15.75" customHeight="1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ht="15.75" customHeight="1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ht="15.75" customHeight="1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ht="15.75" customHeight="1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ht="15.75" customHeight="1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ht="15.75" customHeight="1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ht="15.75" customHeight="1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ht="15.75" customHeight="1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ht="15.75" customHeight="1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ht="15.75" customHeight="1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ht="15.75" customHeight="1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ht="15.75" customHeight="1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ht="15.75" customHeight="1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ht="15.75" customHeight="1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ht="15.75" customHeight="1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ht="15.75" customHeight="1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ht="15.75" customHeight="1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ht="15.75" customHeight="1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ht="15.75" customHeight="1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ht="15.75" customHeight="1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ht="15.75" customHeight="1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ht="15.75" customHeight="1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ht="15.75" customHeight="1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ht="15.75" customHeight="1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ht="15.75" customHeight="1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ht="15.75" customHeight="1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ht="15.75" customHeight="1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ht="15.75" customHeight="1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ht="15.75" customHeight="1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ht="15.75" customHeight="1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ht="15.75" customHeight="1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ht="15.75" customHeight="1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ht="15.75" customHeight="1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ht="15.75" customHeight="1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ht="15.75" customHeight="1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ht="15.75" customHeight="1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ht="15.75" customHeight="1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ht="15.75" customHeight="1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ht="15.75" customHeight="1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ht="15.75" customHeight="1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ht="15.75" customHeight="1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ht="15.75" customHeight="1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ht="15.75" customHeight="1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ht="15.75" customHeight="1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ht="15.75" customHeight="1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ht="15.75" customHeight="1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ht="15.75" customHeight="1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ht="15.75" customHeight="1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ht="15.75" customHeight="1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ht="15.75" customHeight="1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ht="15.75" customHeight="1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ht="15.75" customHeight="1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ht="15.75" customHeight="1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ht="15.75" customHeight="1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ht="15.75" customHeight="1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ht="15.75" customHeight="1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ht="15.75" customHeight="1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ht="15.75" customHeight="1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ht="15.75" customHeight="1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ht="15.75" customHeight="1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ht="15.75" customHeight="1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ht="15.75" customHeight="1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ht="15.75" customHeight="1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ht="15.75" customHeight="1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ht="15.75" customHeight="1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ht="15.75" customHeight="1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ht="15.75" customHeight="1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ht="15.75" customHeight="1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ht="15.75" customHeight="1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ht="15.75" customHeight="1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ht="15.75" customHeight="1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ht="15.75" customHeight="1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ht="15.75" customHeight="1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ht="15.75" customHeight="1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ht="15.75" customHeight="1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ht="15.75" customHeight="1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ht="15.75" customHeight="1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ht="15.75" customHeight="1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ht="15.75" customHeight="1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ht="15.75" customHeight="1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ht="15.75" customHeight="1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ht="15.75" customHeight="1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ht="15.75" customHeight="1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ht="15.75" customHeight="1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ht="15.75" customHeight="1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ht="15.75" customHeight="1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ht="15.75" customHeight="1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ht="15.75" customHeight="1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ht="15.75" customHeight="1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ht="15.75" customHeight="1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ht="15.75" customHeight="1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ht="15.75" customHeight="1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ht="15.75" customHeight="1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ht="15.75" customHeight="1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ht="15.75" customHeight="1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ht="15.75" customHeight="1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ht="15.75" customHeight="1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ht="15.75" customHeight="1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ht="15.75" customHeight="1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ht="15.75" customHeight="1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ht="15.75" customHeight="1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ht="15.75" customHeight="1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ht="15.75" customHeight="1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ht="15.75" customHeight="1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ht="15.75" customHeight="1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ht="15.75" customHeight="1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ht="15.75" customHeight="1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ht="15.75" customHeight="1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ht="15.75" customHeight="1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ht="15.75" customHeight="1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ht="15.75" customHeight="1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ht="15.75" customHeight="1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ht="15.75" customHeight="1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ht="15.75" customHeight="1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ht="15.75" customHeight="1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ht="15.75" customHeight="1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ht="15.75" customHeight="1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ht="15.75" customHeight="1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ht="15.75" customHeight="1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ht="15.75" customHeight="1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ht="15.75" customHeight="1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ht="15.75" customHeight="1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ht="15.75" customHeight="1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ht="15.75" customHeight="1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ht="15.75" customHeight="1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ht="15.75" customHeight="1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ht="15.75" customHeight="1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ht="15.75" customHeight="1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ht="15.75" customHeight="1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ht="15.75" customHeight="1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ht="15.75" customHeight="1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ht="15.75" customHeight="1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ht="15.75" customHeight="1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ht="15.75" customHeight="1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ht="15.75" customHeight="1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ht="15.75" customHeight="1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ht="15.75" customHeight="1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ht="15.75" customHeight="1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ht="15.75" customHeight="1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ht="15.75" customHeight="1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ht="15.75" customHeight="1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ht="15.75" customHeight="1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ht="15.75" customHeight="1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ht="15.75" customHeight="1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ht="15.75" customHeight="1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ht="15.75" customHeight="1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ht="15.75" customHeight="1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ht="15.75" customHeight="1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ht="15.75" customHeight="1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ht="15.75" customHeight="1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ht="15.75" customHeight="1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ht="15.75" customHeight="1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ht="15.75" customHeight="1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ht="15.75" customHeight="1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ht="15.75" customHeight="1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ht="15.75" customHeight="1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ht="15.75" customHeight="1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ht="15.75" customHeight="1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ht="15.75" customHeight="1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ht="15.75" customHeight="1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ht="15.75" customHeight="1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ht="15.75" customHeight="1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ht="15.75" customHeight="1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ht="15.75" customHeight="1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ht="15.75" customHeight="1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ht="15.75" customHeight="1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ht="15.75" customHeight="1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ht="15.75" customHeight="1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ht="15.75" customHeight="1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ht="15.75" customHeight="1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ht="15.75" customHeight="1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ht="15.75" customHeight="1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ht="15.75" customHeight="1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ht="15.75" customHeight="1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ht="15.75" customHeight="1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ht="15.75" customHeight="1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ht="15.75" customHeight="1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ht="15.75" customHeight="1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ht="15.75" customHeight="1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ht="15.75" customHeight="1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ht="15.75" customHeight="1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ht="15.75" customHeight="1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ht="15.75" customHeight="1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ht="15.75" customHeight="1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ht="15.75" customHeight="1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ht="15.75" customHeight="1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ht="15.75" customHeight="1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ht="15.75" customHeight="1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ht="15.75" customHeight="1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ht="15.75" customHeight="1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ht="15.75" customHeight="1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ht="15.75" customHeight="1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ht="15.75" customHeight="1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ht="15.75" customHeight="1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ht="15.75" customHeight="1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ht="15.75" customHeight="1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ht="15.75" customHeight="1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ht="15.75" customHeight="1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ht="15.75" customHeight="1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ht="15.75" customHeight="1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ht="15.75" customHeight="1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ht="15.75" customHeight="1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ht="15.75" customHeight="1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ht="15.75" customHeight="1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ht="15.75" customHeight="1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ht="15.75" customHeight="1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ht="15.75" customHeight="1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ht="15.75" customHeight="1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ht="15.75" customHeight="1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ht="15.75" customHeight="1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ht="15.75" customHeight="1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ht="15.75" customHeight="1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ht="15.75" customHeight="1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ht="15.75" customHeight="1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ht="15.75" customHeight="1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ht="15.75" customHeight="1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ht="15.75" customHeight="1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ht="15.75" customHeight="1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ht="15.75" customHeight="1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ht="15.75" customHeight="1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ht="15.75" customHeight="1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ht="15.75" customHeight="1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ht="15.75" customHeight="1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ht="15.75" customHeight="1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ht="15.75" customHeight="1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ht="15.75" customHeight="1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ht="15.75" customHeight="1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ht="15.75" customHeight="1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ht="15.75" customHeight="1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ht="15.75" customHeight="1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ht="15.75" customHeight="1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ht="15.75" customHeight="1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ht="15.75" customHeight="1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ht="15.75" customHeight="1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ht="15.75" customHeight="1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ht="15.75" customHeight="1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ht="15.75" customHeight="1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ht="15.75" customHeight="1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ht="15.75" customHeight="1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ht="15.75" customHeight="1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ht="15.75" customHeight="1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ht="15.75" customHeight="1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ht="15.75" customHeight="1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ht="15.75" customHeight="1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ht="15.75" customHeight="1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ht="15.75" customHeight="1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ht="15.75" customHeight="1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ht="15.75" customHeight="1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ht="15.75" customHeight="1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ht="15.75" customHeight="1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ht="15.75" customHeight="1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ht="15.75" customHeight="1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ht="15.75" customHeight="1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ht="15.75" customHeight="1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ht="15.75" customHeight="1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ht="15.75" customHeight="1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ht="15.75" customHeight="1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ht="15.75" customHeight="1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ht="15.75" customHeight="1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ht="15.75" customHeight="1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ht="15.75" customHeight="1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ht="15.75" customHeight="1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ht="15.75" customHeight="1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ht="15.75" customHeight="1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ht="15.75" customHeight="1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ht="15.75" customHeight="1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ht="15.75" customHeight="1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ht="15.75" customHeight="1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ht="15.75" customHeight="1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ht="15.75" customHeight="1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ht="15.75" customHeight="1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ht="15.75" customHeight="1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ht="15.75" customHeight="1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ht="15.75" customHeight="1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ht="15.75" customHeight="1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ht="15.75" customHeight="1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ht="15.75" customHeight="1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ht="15.75" customHeight="1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ht="15.75" customHeight="1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ht="15.75" customHeight="1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ht="15.75" customHeight="1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ht="15.75" customHeight="1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ht="15.75" customHeight="1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ht="15.75" customHeight="1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ht="15.75" customHeight="1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ht="15.75" customHeight="1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ht="15.75" customHeight="1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ht="15.75" customHeight="1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ht="15.75" customHeight="1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ht="15.75" customHeight="1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ht="15.75" customHeight="1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ht="15.75" customHeight="1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ht="15.75" customHeight="1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ht="15.75" customHeight="1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ht="15.75" customHeight="1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ht="15.75" customHeight="1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ht="15.75" customHeight="1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ht="15.75" customHeight="1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ht="15.75" customHeight="1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ht="15.75" customHeight="1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ht="15.75" customHeight="1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ht="15.75" customHeight="1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ht="15.75" customHeight="1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ht="15.75" customHeight="1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ht="15.75" customHeight="1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ht="15.75" customHeight="1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ht="15.75" customHeight="1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ht="15.75" customHeight="1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ht="15.75" customHeight="1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ht="15.75" customHeight="1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ht="15.75" customHeight="1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ht="15.75" customHeight="1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ht="15.75" customHeight="1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ht="15.75" customHeight="1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ht="15.75" customHeight="1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ht="15.75" customHeight="1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ht="15.75" customHeight="1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ht="15.75" customHeight="1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ht="15.75" customHeight="1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ht="15.75" customHeight="1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ht="15.75" customHeight="1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ht="15.75" customHeight="1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ht="15.75" customHeight="1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ht="15.75" customHeight="1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ht="15.75" customHeight="1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ht="15.75" customHeight="1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ht="15.75" customHeight="1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ht="15.75" customHeight="1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ht="15.75" customHeight="1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ht="15.75" customHeight="1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ht="15.75" customHeight="1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ht="15.75" customHeight="1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ht="15.75" customHeight="1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ht="15.75" customHeight="1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ht="15.75" customHeight="1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ht="15.75" customHeight="1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ht="15.75" customHeight="1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ht="15.75" customHeight="1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ht="15.75" customHeight="1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ht="15.75" customHeight="1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ht="15.75" customHeight="1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ht="15.75" customHeight="1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ht="15.75" customHeight="1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ht="15.75" customHeight="1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ht="15.75" customHeight="1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ht="15.75" customHeight="1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ht="15.75" customHeight="1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ht="15.75" customHeight="1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ht="15.75" customHeight="1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ht="15.75" customHeight="1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ht="15.75" customHeight="1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ht="15.75" customHeight="1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ht="15.75" customHeight="1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ht="15.75" customHeight="1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ht="15.75" customHeight="1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ht="15.75" customHeight="1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ht="15.75" customHeight="1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ht="15.75" customHeight="1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ht="15.75" customHeight="1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ht="15.75" customHeight="1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ht="15.75" customHeight="1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ht="15.75" customHeight="1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ht="15.75" customHeight="1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ht="15.75" customHeight="1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ht="15.75" customHeight="1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ht="15.75" customHeight="1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ht="15.75" customHeight="1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ht="15.75" customHeight="1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ht="15.75" customHeight="1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ht="15.75" customHeight="1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ht="15.75" customHeight="1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ht="15.75" customHeight="1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ht="15.75" customHeight="1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ht="15.75" customHeight="1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ht="15.75" customHeight="1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ht="15.75" customHeight="1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ht="15.75" customHeight="1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ht="15.75" customHeight="1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ht="15.75" customHeight="1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ht="15.75" customHeight="1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ht="15.75" customHeight="1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ht="15.75" customHeight="1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ht="15.75" customHeight="1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ht="15.75" customHeight="1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ht="15.75" customHeight="1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ht="15.75" customHeight="1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ht="15.75" customHeight="1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ht="15.75" customHeight="1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ht="15.75" customHeight="1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ht="15.75" customHeight="1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ht="15.75" customHeight="1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ht="15.75" customHeight="1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ht="15.75" customHeight="1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ht="15.75" customHeight="1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ht="15.75" customHeight="1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ht="15.75" customHeight="1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ht="15.75" customHeight="1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ht="15.75" customHeight="1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ht="15.75" customHeight="1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ht="15.75" customHeight="1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ht="15.75" customHeight="1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ht="15.75" customHeight="1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ht="15.75" customHeight="1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ht="15.75" customHeight="1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ht="15.75" customHeight="1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ht="15.75" customHeight="1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ht="15.75" customHeight="1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ht="15.75" customHeight="1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ht="15.75" customHeight="1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ht="15.75" customHeight="1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ht="15.75" customHeight="1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ht="15.75" customHeight="1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ht="15.75" customHeight="1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ht="15.75" customHeight="1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ht="15.75" customHeight="1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ht="15.75" customHeight="1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ht="15.75" customHeight="1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ht="15.75" customHeight="1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ht="15.75" customHeight="1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ht="15.75" customHeight="1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ht="15.75" customHeight="1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ht="15.75" customHeight="1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ht="15.75" customHeight="1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ht="15.75" customHeight="1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ht="15.75" customHeight="1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ht="15.75" customHeight="1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ht="15.75" customHeight="1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ht="15.75" customHeight="1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ht="15.75" customHeight="1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ht="15.75" customHeight="1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ht="15.75" customHeight="1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ht="15.75" customHeight="1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ht="15.75" customHeight="1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ht="15.75" customHeight="1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ht="15.75" customHeight="1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ht="15.75" customHeight="1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ht="15.75" customHeight="1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ht="15.75" customHeight="1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ht="15.75" customHeight="1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ht="15.75" customHeight="1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ht="15.75" customHeight="1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ht="15.75" customHeight="1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ht="15.75" customHeight="1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ht="15.75" customHeight="1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ht="15.75" customHeight="1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ht="15.75" customHeight="1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ht="15.75" customHeight="1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ht="15.75" customHeight="1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ht="15.75" customHeight="1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ht="15.75" customHeight="1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ht="15.75" customHeight="1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ht="15.75" customHeight="1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ht="15.75" customHeight="1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ht="15.75" customHeight="1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ht="15.75" customHeight="1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ht="15.75" customHeight="1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ht="15.75" customHeight="1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ht="15.75" customHeight="1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ht="15.75" customHeight="1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ht="15.75" customHeight="1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ht="15.75" customHeight="1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ht="15.75" customHeight="1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ht="15.75" customHeight="1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ht="15.75" customHeight="1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ht="15.75" customHeight="1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ht="15.75" customHeight="1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ht="15.75" customHeight="1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ht="15.75" customHeight="1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ht="15.75" customHeight="1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ht="15.75" customHeight="1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ht="15.75" customHeight="1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ht="15.75" customHeight="1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ht="15.75" customHeight="1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ht="15.75" customHeight="1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ht="15.75" customHeight="1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ht="15.75" customHeight="1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ht="15.75" customHeight="1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ht="15.75" customHeight="1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ht="15.75" customHeight="1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ht="15.75" customHeight="1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ht="15.75" customHeight="1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ht="15.75" customHeight="1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ht="15.75" customHeight="1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ht="15.75" customHeight="1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ht="15.75" customHeight="1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ht="15.75" customHeight="1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ht="15.75" customHeight="1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ht="15.75" customHeight="1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ht="15.75" customHeight="1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ht="15.75" customHeight="1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ht="15.75" customHeight="1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ht="15.75" customHeight="1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ht="15.75" customHeight="1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ht="15.75" customHeight="1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ht="15.75" customHeight="1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ht="15.75" customHeight="1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ht="15.75" customHeight="1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ht="15.75" customHeight="1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ht="15.75" customHeight="1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ht="15.75" customHeight="1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ht="15.75" customHeight="1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ht="15.75" customHeight="1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ht="15.75" customHeight="1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ht="15.75" customHeight="1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ht="15.75" customHeight="1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ht="15.75" customHeight="1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ht="15.75" customHeight="1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ht="15.75" customHeight="1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ht="15.75" customHeight="1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ht="15.75" customHeight="1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ht="15.75" customHeight="1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ht="15.75" customHeight="1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ht="15.75" customHeight="1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ht="15.75" customHeight="1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ht="15.75" customHeight="1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ht="15.75" customHeight="1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ht="15.75" customHeight="1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ht="15.75" customHeight="1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ht="15.75" customHeight="1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ht="15.75" customHeight="1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ht="15.75" customHeight="1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ht="15.75" customHeight="1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ht="15.75" customHeight="1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ht="15.75" customHeight="1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ht="15.75" customHeight="1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ht="15.75" customHeight="1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ht="15.75" customHeight="1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ht="15.75" customHeight="1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ht="15.75" customHeight="1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ht="15.75" customHeight="1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ht="15.75" customHeight="1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ht="15.75" customHeight="1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ht="15.75" customHeight="1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ht="15.75" customHeight="1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ht="15.75" customHeight="1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ht="15.75" customHeight="1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ht="15.75" customHeight="1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ht="15.75" customHeight="1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ht="15.75" customHeight="1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ht="15.75" customHeight="1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ht="15.75" customHeight="1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ht="15.75" customHeight="1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ht="15.75" customHeight="1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ht="15.75" customHeight="1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ht="15.75" customHeight="1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ht="15.75" customHeight="1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ht="15.75" customHeight="1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ht="15.75" customHeight="1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ht="15.75" customHeight="1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ht="15.75" customHeight="1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ht="15.75" customHeight="1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ht="15.75" customHeight="1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ht="15.75" customHeight="1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ht="15.75" customHeight="1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ht="15.75" customHeight="1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ht="15.75" customHeight="1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ht="15.75" customHeight="1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ht="15.75" customHeight="1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ht="15.75" customHeight="1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ht="15.75" customHeight="1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ht="15.75" customHeight="1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ht="15.75" customHeight="1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ht="15.75" customHeight="1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ht="15.75" customHeight="1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ht="15.75" customHeight="1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ht="15.75" customHeight="1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ht="15.75" customHeight="1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ht="15.75" customHeight="1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ht="15.75" customHeight="1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ht="15.75" customHeight="1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ht="15.75" customHeight="1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ht="15.75" customHeight="1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ht="15.75" customHeight="1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ht="15.75" customHeight="1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ht="15.75" customHeight="1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ht="15.75" customHeight="1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ht="15.75" customHeight="1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ht="15.75" customHeight="1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ht="15.75" customHeight="1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ht="15.75" customHeight="1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ht="15.75" customHeight="1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ht="15.75" customHeight="1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ht="15.75" customHeight="1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ht="15.75" customHeight="1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ht="15.75" customHeight="1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ht="15.75" customHeight="1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ht="15.75" customHeight="1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ht="15.75" customHeight="1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ht="15.75" customHeight="1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ht="15.75" customHeight="1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ht="15.75" customHeight="1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ht="15.75" customHeight="1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ht="15.75" customHeight="1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ht="15.75" customHeight="1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ht="15.75" customHeight="1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ht="15.75" customHeight="1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ht="15.75" customHeight="1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ht="15.75" customHeight="1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ht="15.75" customHeight="1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ht="15.75" customHeight="1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ht="15.75" customHeight="1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ht="15.75" customHeight="1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ht="15.75" customHeight="1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ht="15.75" customHeight="1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ht="15.75" customHeight="1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ht="15.75" customHeight="1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ht="15.75" customHeight="1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ht="15.75" customHeight="1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ht="15.75" customHeight="1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ht="15.75" customHeight="1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ht="15.75" customHeight="1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ht="15.75" customHeight="1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ht="15.75" customHeight="1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ht="15.75" customHeight="1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ht="15.75" customHeight="1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ht="15.75" customHeight="1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ht="15.75" customHeight="1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ht="15.75" customHeight="1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ht="15.75" customHeight="1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ht="15.75" customHeight="1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ht="15.75" customHeight="1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ht="15.75" customHeight="1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ht="15.75" customHeight="1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ht="15.75" customHeight="1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ht="15.75" customHeight="1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ht="15.75" customHeight="1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ht="15.75" customHeight="1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ht="15.75" customHeight="1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ht="15.75" customHeight="1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ht="15.75" customHeight="1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ht="15.75" customHeight="1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ht="15.75" customHeight="1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ht="15.75" customHeight="1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ht="15.75" customHeight="1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ht="15.75" customHeight="1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ht="15.75" customHeight="1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ht="15.75" customHeight="1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ht="15.75" customHeight="1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ht="15.75" customHeight="1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ht="15.75" customHeight="1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ht="15.75" customHeight="1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ht="15.75" customHeight="1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ht="15.75" customHeight="1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ht="15.75" customHeight="1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ht="15.75" customHeight="1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ht="15.75" customHeight="1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ht="15.75" customHeight="1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ht="15.75" customHeight="1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ht="15.75" customHeight="1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ht="15.75" customHeight="1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ht="15.75" customHeight="1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ht="15.75" customHeight="1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ht="15.75" customHeight="1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ht="15.75" customHeight="1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ht="15.75" customHeight="1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ht="15.75" customHeight="1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ht="15.75" customHeight="1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ht="15.75" customHeight="1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ht="15.75" customHeight="1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ht="15.75" customHeight="1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ht="15.75" customHeight="1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ht="15.75" customHeight="1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ht="15.75" customHeight="1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ht="15.75" customHeight="1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ht="15.75" customHeight="1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ht="15.75" customHeight="1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ht="15.75" customHeight="1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ht="15.75" customHeight="1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ht="15.75" customHeight="1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ht="15.75" customHeight="1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ht="15.75" customHeight="1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ht="15.75" customHeight="1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ht="15.75" customHeight="1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ht="15.75" customHeight="1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ht="15.75" customHeight="1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ht="15.75" customHeight="1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ht="15.75" customHeight="1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ht="15.75" customHeight="1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ht="15.75" customHeight="1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ht="15.75" customHeight="1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ht="15.75" customHeight="1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ht="15.75" customHeight="1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ht="15.75" customHeight="1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ht="15.75" customHeight="1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ht="15.75" customHeight="1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ht="15.75" customHeight="1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ht="15.75" customHeight="1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ht="15.75" customHeight="1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ht="15.75" customHeight="1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ht="15.75" customHeight="1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ht="15.75" customHeight="1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ht="15.75" customHeight="1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ht="15.75" customHeight="1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ht="15.75" customHeight="1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ht="15.75" customHeight="1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ht="15.75" customHeight="1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ht="15.75" customHeight="1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ht="15.75" customHeight="1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ht="15.75" customHeight="1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ht="15.75" customHeight="1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ht="15.75" customHeight="1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ht="15.75" customHeight="1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ht="15.75" customHeight="1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ht="15.75" customHeight="1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ht="15.75" customHeight="1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ht="15.75" customHeight="1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ht="15.75" customHeight="1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ht="15.75" customHeight="1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ht="15.75" customHeight="1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ht="15.75" customHeight="1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ht="15.75" customHeight="1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ht="15.75" customHeight="1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ht="15.75" customHeight="1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ht="15.75" customHeight="1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ht="15.75" customHeight="1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ht="15.75" customHeight="1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ht="15.75" customHeight="1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ht="15.75" customHeight="1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ht="15.75" customHeight="1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ht="15.75" customHeight="1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ht="15.75" customHeight="1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ht="15.75" customHeight="1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ht="15.75" customHeight="1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ht="15.75" customHeight="1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ht="15.75" customHeight="1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ht="15.75" customHeight="1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ht="15.75" customHeight="1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ht="15.75" customHeight="1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ht="15.75" customHeight="1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ht="15.75" customHeight="1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ht="15.75" customHeight="1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ht="15.75" customHeight="1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ht="15.75" customHeight="1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ht="15.75" customHeight="1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ht="15.75" customHeight="1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ht="15.75" customHeight="1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ht="15.75" customHeight="1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ht="15.75" customHeight="1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ht="15.75" customHeight="1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ht="15.75" customHeight="1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ht="15.75" customHeight="1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ht="15.75" customHeight="1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ht="15.75" customHeight="1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ht="15.75" customHeight="1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</sheetData>
  <dataValidations>
    <dataValidation type="list" allowBlank="1" showDropDown="1" showErrorMessage="1" sqref="B2:B190">
      <formula1>"APS,MAC"</formula1>
    </dataValidation>
    <dataValidation type="custom" allowBlank="1" showDropDown="1" sqref="E2:F190">
      <formula1>OR(NOT(ISERROR(DATEVALUE(E2))), AND(ISNUMBER(E2), LEFT(CELL("format", E2))="D"))</formula1>
    </dataValidation>
    <dataValidation type="custom" allowBlank="1" showDropDown="1" sqref="A2:A190 D2:D190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4.43" defaultRowHeight="15.0"/>
  <cols>
    <col customWidth="1" min="4" max="5" width="23.29"/>
    <col customWidth="1" min="6" max="8" width="19.0"/>
    <col customWidth="1" min="13" max="13" width="17.0"/>
    <col customWidth="1" min="18" max="18" width="19.0"/>
  </cols>
  <sheetData>
    <row r="1">
      <c r="A1" s="288"/>
      <c r="B1" s="289"/>
      <c r="C1" s="289"/>
      <c r="D1" s="290" t="s">
        <v>67</v>
      </c>
      <c r="E1" s="291"/>
      <c r="F1" s="291"/>
      <c r="G1" s="292"/>
      <c r="H1" s="293" t="s">
        <v>69</v>
      </c>
      <c r="I1" s="294" t="s">
        <v>211</v>
      </c>
      <c r="J1" s="10"/>
      <c r="K1" s="10"/>
      <c r="L1" s="10"/>
      <c r="M1" s="11"/>
      <c r="N1" s="294" t="s">
        <v>212</v>
      </c>
      <c r="O1" s="10"/>
      <c r="P1" s="10"/>
      <c r="Q1" s="10"/>
      <c r="R1" s="11"/>
      <c r="S1" s="295" t="s">
        <v>213</v>
      </c>
      <c r="T1" s="10"/>
      <c r="U1" s="11"/>
      <c r="V1" s="296" t="s">
        <v>6</v>
      </c>
      <c r="W1" s="296" t="s">
        <v>8</v>
      </c>
      <c r="X1" s="296" t="s">
        <v>9</v>
      </c>
      <c r="Y1" s="297" t="s">
        <v>72</v>
      </c>
      <c r="Z1" s="298" t="s">
        <v>73</v>
      </c>
      <c r="AA1" s="298" t="s">
        <v>74</v>
      </c>
      <c r="AB1" s="298" t="s">
        <v>75</v>
      </c>
      <c r="AC1" s="298" t="s">
        <v>76</v>
      </c>
      <c r="AD1" s="15" t="s">
        <v>10</v>
      </c>
    </row>
    <row r="2">
      <c r="A2" s="299" t="s">
        <v>214</v>
      </c>
      <c r="B2" s="300" t="s">
        <v>28</v>
      </c>
      <c r="C2" s="26" t="s">
        <v>29</v>
      </c>
      <c r="D2" s="301" t="s">
        <v>215</v>
      </c>
      <c r="E2" s="301" t="s">
        <v>216</v>
      </c>
      <c r="F2" s="301" t="s">
        <v>217</v>
      </c>
      <c r="G2" s="301" t="s">
        <v>218</v>
      </c>
      <c r="H2" s="301" t="s">
        <v>219</v>
      </c>
      <c r="I2" s="302" t="s">
        <v>81</v>
      </c>
      <c r="J2" s="303" t="s">
        <v>82</v>
      </c>
      <c r="K2" s="303" t="s">
        <v>34</v>
      </c>
      <c r="L2" s="303" t="s">
        <v>33</v>
      </c>
      <c r="M2" s="304" t="s">
        <v>83</v>
      </c>
      <c r="N2" s="305" t="s">
        <v>85</v>
      </c>
      <c r="O2" s="305" t="s">
        <v>86</v>
      </c>
      <c r="P2" s="305" t="s">
        <v>87</v>
      </c>
      <c r="Q2" s="305" t="s">
        <v>88</v>
      </c>
      <c r="R2" s="306" t="s">
        <v>220</v>
      </c>
      <c r="S2" s="307" t="s">
        <v>90</v>
      </c>
      <c r="T2" s="307" t="s">
        <v>91</v>
      </c>
      <c r="U2" s="308" t="s">
        <v>92</v>
      </c>
      <c r="V2" s="309" t="s">
        <v>24</v>
      </c>
      <c r="W2" s="309" t="s">
        <v>26</v>
      </c>
      <c r="X2" s="301" t="s">
        <v>221</v>
      </c>
      <c r="Y2" s="301" t="s">
        <v>94</v>
      </c>
      <c r="Z2" s="301" t="s">
        <v>95</v>
      </c>
      <c r="AA2" s="301" t="s">
        <v>96</v>
      </c>
      <c r="AB2" s="309" t="s">
        <v>97</v>
      </c>
      <c r="AC2" s="309" t="s">
        <v>98</v>
      </c>
      <c r="AD2" s="15"/>
    </row>
    <row r="3">
      <c r="A3" s="310" t="s">
        <v>106</v>
      </c>
      <c r="B3" s="311" t="s">
        <v>222</v>
      </c>
      <c r="C3" s="41" t="s">
        <v>43</v>
      </c>
      <c r="D3" s="163"/>
      <c r="E3" s="163"/>
      <c r="F3" s="312"/>
      <c r="G3" s="312">
        <v>2635816.0</v>
      </c>
      <c r="H3" s="312">
        <v>338795.48</v>
      </c>
      <c r="I3" s="130"/>
      <c r="J3" s="130"/>
      <c r="K3" s="313">
        <v>139337.77</v>
      </c>
      <c r="L3" s="314">
        <v>33750.0</v>
      </c>
      <c r="M3" s="312">
        <v>585565.65</v>
      </c>
      <c r="N3" s="130"/>
      <c r="O3" s="130"/>
      <c r="P3" s="130"/>
      <c r="Q3" s="130"/>
      <c r="R3" s="315">
        <v>99600.0</v>
      </c>
      <c r="S3" s="130"/>
      <c r="T3" s="130"/>
      <c r="U3" s="312">
        <v>228000.0</v>
      </c>
      <c r="V3" s="312">
        <v>2413620.0</v>
      </c>
      <c r="W3" s="312" t="s">
        <v>223</v>
      </c>
      <c r="X3" s="160">
        <v>391789.18</v>
      </c>
      <c r="Y3" s="134"/>
      <c r="Z3" s="135"/>
      <c r="AA3" s="136"/>
      <c r="AB3" s="136"/>
      <c r="AC3" s="136"/>
      <c r="AD3" s="15"/>
    </row>
    <row r="4">
      <c r="A4" s="316"/>
      <c r="B4" s="40"/>
      <c r="C4" s="54" t="s">
        <v>44</v>
      </c>
      <c r="D4" s="317">
        <v>1526000.0</v>
      </c>
      <c r="E4" s="317">
        <v>654000.0</v>
      </c>
      <c r="F4" s="317">
        <v>654000.0</v>
      </c>
      <c r="G4" s="225">
        <f>(D4+E4+F4)-198184</f>
        <v>2635816</v>
      </c>
      <c r="H4" s="318"/>
      <c r="I4" s="317">
        <v>282987.0</v>
      </c>
      <c r="J4" s="317">
        <v>129490.88</v>
      </c>
      <c r="K4" s="317">
        <v>139337.77</v>
      </c>
      <c r="L4" s="317">
        <v>0.0</v>
      </c>
      <c r="M4" s="318">
        <f>I4+J4+K4+L4</f>
        <v>551815.65</v>
      </c>
      <c r="N4" s="317">
        <v>18600.0</v>
      </c>
      <c r="O4" s="317">
        <v>81000.0</v>
      </c>
      <c r="P4" s="317">
        <v>0.0</v>
      </c>
      <c r="Q4" s="317">
        <v>8556.0</v>
      </c>
      <c r="R4" s="138">
        <f>SUM(N4:Q4)</f>
        <v>108156</v>
      </c>
      <c r="S4" s="317">
        <v>192000.0</v>
      </c>
      <c r="T4" s="317">
        <v>36000.0</v>
      </c>
      <c r="U4" s="138">
        <f>SUM(S4:T4)</f>
        <v>228000</v>
      </c>
      <c r="V4" s="226" t="s">
        <v>224</v>
      </c>
      <c r="W4" s="226">
        <v>6000.0</v>
      </c>
      <c r="X4" s="139"/>
      <c r="Y4" s="140"/>
      <c r="Z4" s="140"/>
      <c r="AA4" s="137"/>
      <c r="AB4" s="137"/>
      <c r="AC4" s="137"/>
      <c r="AD4" s="15"/>
    </row>
    <row r="5">
      <c r="A5" s="310" t="s">
        <v>111</v>
      </c>
      <c r="B5" s="311" t="s">
        <v>225</v>
      </c>
      <c r="C5" s="41" t="s">
        <v>43</v>
      </c>
      <c r="D5" s="163"/>
      <c r="E5" s="163"/>
      <c r="F5" s="163"/>
      <c r="G5" s="312">
        <v>2553156.5</v>
      </c>
      <c r="H5" s="319"/>
      <c r="I5" s="320"/>
      <c r="J5" s="142"/>
      <c r="K5" s="313"/>
      <c r="L5" s="131"/>
      <c r="M5" s="321">
        <v>573864.15</v>
      </c>
      <c r="N5" s="130"/>
      <c r="O5" s="130"/>
      <c r="P5" s="141"/>
      <c r="Q5" s="130"/>
      <c r="R5" s="312">
        <v>108156.0</v>
      </c>
      <c r="S5" s="130"/>
      <c r="T5" s="130"/>
      <c r="U5" s="312">
        <v>228000.0</v>
      </c>
      <c r="V5" s="312">
        <v>2392368.0</v>
      </c>
      <c r="W5" s="312" t="s">
        <v>223</v>
      </c>
      <c r="X5" s="160">
        <v>391789.18</v>
      </c>
      <c r="Y5" s="134"/>
      <c r="Z5" s="135"/>
      <c r="AA5" s="136"/>
      <c r="AB5" s="136"/>
      <c r="AC5" s="136"/>
      <c r="AD5" s="15"/>
    </row>
    <row r="6">
      <c r="A6" s="316"/>
      <c r="B6" s="40"/>
      <c r="C6" s="54" t="s">
        <v>44</v>
      </c>
      <c r="D6" s="226">
        <v>1501500.0</v>
      </c>
      <c r="E6" s="226">
        <v>643500.0</v>
      </c>
      <c r="F6" s="226">
        <v>643500.0</v>
      </c>
      <c r="G6" s="225">
        <f>(D6+E6+F6)-235343.5</f>
        <v>2553156.5</v>
      </c>
      <c r="H6" s="138"/>
      <c r="I6" s="322">
        <v>274959.0</v>
      </c>
      <c r="J6" s="323">
        <v>125817.38</v>
      </c>
      <c r="K6" s="226">
        <v>139337.77</v>
      </c>
      <c r="L6" s="222">
        <v>33750.0</v>
      </c>
      <c r="M6" s="222">
        <f>SUM(I6:L6)</f>
        <v>573864.15</v>
      </c>
      <c r="N6" s="226">
        <v>18600.0</v>
      </c>
      <c r="O6" s="226">
        <v>81000.0</v>
      </c>
      <c r="P6" s="225">
        <v>0.0</v>
      </c>
      <c r="Q6" s="317">
        <v>8556.0</v>
      </c>
      <c r="R6" s="138">
        <f>SUM(N6:Q6)</f>
        <v>108156</v>
      </c>
      <c r="S6" s="226">
        <v>192000.0</v>
      </c>
      <c r="T6" s="226">
        <v>36000.0</v>
      </c>
      <c r="U6" s="138">
        <f>SUM(S6:T6)</f>
        <v>228000</v>
      </c>
      <c r="V6" s="226" t="s">
        <v>226</v>
      </c>
      <c r="W6" s="226">
        <v>6000.0</v>
      </c>
      <c r="X6" s="139"/>
      <c r="Y6" s="140"/>
      <c r="Z6" s="140"/>
      <c r="AA6" s="137"/>
      <c r="AB6" s="137"/>
      <c r="AC6" s="137"/>
      <c r="AD6" s="15"/>
    </row>
    <row r="7">
      <c r="A7" s="310" t="s">
        <v>222</v>
      </c>
      <c r="B7" s="311" t="s">
        <v>227</v>
      </c>
      <c r="C7" s="41" t="s">
        <v>43</v>
      </c>
      <c r="D7" s="163"/>
      <c r="E7" s="163"/>
      <c r="F7" s="163"/>
      <c r="G7" s="162">
        <v>2573270.0</v>
      </c>
      <c r="H7" s="324"/>
      <c r="I7" s="148"/>
      <c r="J7" s="149"/>
      <c r="K7" s="130"/>
      <c r="L7" s="131"/>
      <c r="M7" s="160">
        <v>597267.15</v>
      </c>
      <c r="N7" s="148"/>
      <c r="O7" s="148"/>
      <c r="P7" s="148"/>
      <c r="Q7" s="148"/>
      <c r="R7" s="325">
        <v>108156.0</v>
      </c>
      <c r="S7" s="130"/>
      <c r="T7" s="130"/>
      <c r="U7" s="312">
        <v>228000.0</v>
      </c>
      <c r="V7" s="160">
        <v>2419692.0</v>
      </c>
      <c r="W7" s="312">
        <v>6000.0</v>
      </c>
      <c r="X7" s="160">
        <v>391789.18</v>
      </c>
      <c r="Y7" s="134"/>
      <c r="Z7" s="134"/>
      <c r="AA7" s="136"/>
      <c r="AB7" s="136"/>
      <c r="AC7" s="136"/>
      <c r="AD7" s="15"/>
    </row>
    <row r="8">
      <c r="A8" s="316"/>
      <c r="B8" s="40"/>
      <c r="C8" s="54" t="s">
        <v>44</v>
      </c>
      <c r="D8" s="226">
        <v>1519000.0</v>
      </c>
      <c r="E8" s="226">
        <v>651000.0</v>
      </c>
      <c r="F8" s="226">
        <v>651000.0</v>
      </c>
      <c r="G8" s="225">
        <f>(D8+E8+F8)-247730</f>
        <v>2573270</v>
      </c>
      <c r="H8" s="138"/>
      <c r="I8" s="322">
        <v>291015.0</v>
      </c>
      <c r="J8" s="323">
        <v>133164.38</v>
      </c>
      <c r="K8" s="226">
        <v>139337.77</v>
      </c>
      <c r="L8" s="226">
        <v>33750.0</v>
      </c>
      <c r="M8" s="226">
        <f>SUM(I8:L8)</f>
        <v>597267.15</v>
      </c>
      <c r="N8" s="326">
        <v>18600.0</v>
      </c>
      <c r="O8" s="165">
        <v>81000.0</v>
      </c>
      <c r="P8" s="165">
        <v>0.0</v>
      </c>
      <c r="Q8" s="165">
        <v>8556.0</v>
      </c>
      <c r="R8" s="138">
        <f>SUM(N8:Q8)</f>
        <v>108156</v>
      </c>
      <c r="S8" s="165">
        <v>192000.0</v>
      </c>
      <c r="T8" s="165">
        <v>36000.0</v>
      </c>
      <c r="U8" s="138">
        <f>SUM(S8:T8)</f>
        <v>228000</v>
      </c>
      <c r="V8" s="165">
        <v>2419692.0</v>
      </c>
      <c r="W8" s="139"/>
      <c r="X8" s="139"/>
      <c r="Y8" s="140"/>
      <c r="Z8" s="140"/>
      <c r="AA8" s="137"/>
      <c r="AB8" s="137"/>
      <c r="AC8" s="137"/>
      <c r="AD8" s="15"/>
    </row>
    <row r="9">
      <c r="A9" s="310" t="s">
        <v>225</v>
      </c>
      <c r="B9" s="311" t="s">
        <v>228</v>
      </c>
      <c r="C9" s="41" t="s">
        <v>43</v>
      </c>
      <c r="D9" s="160"/>
      <c r="E9" s="160"/>
      <c r="F9" s="160"/>
      <c r="G9" s="160">
        <v>2553156.5</v>
      </c>
      <c r="H9" s="160">
        <v>338795.48</v>
      </c>
      <c r="I9" s="148"/>
      <c r="J9" s="148"/>
      <c r="K9" s="148"/>
      <c r="L9" s="148"/>
      <c r="M9" s="160">
        <v>591416.4</v>
      </c>
      <c r="N9" s="148"/>
      <c r="O9" s="148"/>
      <c r="P9" s="148"/>
      <c r="Q9" s="148"/>
      <c r="R9" s="170">
        <v>106606.0</v>
      </c>
      <c r="S9" s="148"/>
      <c r="T9" s="148"/>
      <c r="U9" s="160">
        <v>228000.0</v>
      </c>
      <c r="V9" s="160">
        <v>2404512.0</v>
      </c>
      <c r="W9" s="312">
        <v>6000.0</v>
      </c>
      <c r="X9" s="156"/>
      <c r="Y9" s="134"/>
      <c r="Z9" s="157"/>
      <c r="AA9" s="136"/>
      <c r="AB9" s="136"/>
      <c r="AC9" s="136"/>
      <c r="AD9" s="15"/>
    </row>
    <row r="10">
      <c r="A10" s="316"/>
      <c r="B10" s="40"/>
      <c r="C10" s="54" t="s">
        <v>44</v>
      </c>
      <c r="D10" s="158"/>
      <c r="E10" s="158"/>
      <c r="F10" s="158"/>
      <c r="G10" s="158"/>
      <c r="H10" s="158"/>
      <c r="I10" s="158"/>
      <c r="J10" s="158"/>
      <c r="K10" s="158"/>
      <c r="L10" s="158"/>
      <c r="M10" s="151"/>
      <c r="N10" s="158"/>
      <c r="O10" s="139"/>
      <c r="P10" s="158"/>
      <c r="Q10" s="158"/>
      <c r="R10" s="158"/>
      <c r="S10" s="158"/>
      <c r="T10" s="158"/>
      <c r="U10" s="158"/>
      <c r="V10" s="158"/>
      <c r="W10" s="158"/>
      <c r="X10" s="139"/>
      <c r="Y10" s="140"/>
      <c r="Z10" s="140"/>
      <c r="AA10" s="137"/>
      <c r="AB10" s="137"/>
      <c r="AC10" s="137"/>
      <c r="AD10" s="15"/>
    </row>
    <row r="11">
      <c r="A11" s="327" t="s">
        <v>227</v>
      </c>
      <c r="B11" s="328" t="s">
        <v>99</v>
      </c>
      <c r="C11" s="41" t="s">
        <v>43</v>
      </c>
      <c r="D11" s="160"/>
      <c r="E11" s="160"/>
      <c r="F11" s="160"/>
      <c r="G11" s="160"/>
      <c r="H11" s="160"/>
      <c r="I11" s="148"/>
      <c r="J11" s="148"/>
      <c r="K11" s="148"/>
      <c r="L11" s="148"/>
      <c r="M11" s="160"/>
      <c r="N11" s="148"/>
      <c r="O11" s="148"/>
      <c r="P11" s="148"/>
      <c r="Q11" s="148"/>
      <c r="R11" s="160"/>
      <c r="S11" s="148"/>
      <c r="T11" s="148"/>
      <c r="U11" s="133"/>
      <c r="V11" s="160"/>
      <c r="W11" s="132"/>
      <c r="X11" s="161"/>
      <c r="Y11" s="162"/>
      <c r="Z11" s="162"/>
      <c r="AA11" s="163"/>
      <c r="AB11" s="163"/>
      <c r="AC11" s="136"/>
      <c r="AD11" s="15"/>
    </row>
    <row r="12">
      <c r="A12" s="329"/>
      <c r="B12" s="159"/>
      <c r="C12" s="54" t="s">
        <v>44</v>
      </c>
      <c r="D12" s="158"/>
      <c r="E12" s="158"/>
      <c r="F12" s="158"/>
      <c r="G12" s="164"/>
      <c r="H12" s="158"/>
      <c r="I12" s="158"/>
      <c r="J12" s="165"/>
      <c r="K12" s="158"/>
      <c r="L12" s="158"/>
      <c r="M12" s="151"/>
      <c r="N12" s="164"/>
      <c r="O12" s="165"/>
      <c r="P12" s="165"/>
      <c r="Q12" s="165"/>
      <c r="R12" s="139"/>
      <c r="S12" s="158"/>
      <c r="T12" s="158"/>
      <c r="U12" s="158"/>
      <c r="V12" s="166"/>
      <c r="W12" s="158"/>
      <c r="X12" s="139"/>
      <c r="Y12" s="140"/>
      <c r="Z12" s="144"/>
      <c r="AA12" s="137"/>
      <c r="AB12" s="137"/>
      <c r="AC12" s="137"/>
      <c r="AD12" s="15"/>
    </row>
    <row r="13">
      <c r="A13" s="327" t="s">
        <v>228</v>
      </c>
      <c r="B13" s="328" t="s">
        <v>101</v>
      </c>
      <c r="C13" s="41" t="s">
        <v>43</v>
      </c>
      <c r="D13" s="160"/>
      <c r="E13" s="160"/>
      <c r="F13" s="160"/>
      <c r="G13" s="160"/>
      <c r="H13" s="160"/>
      <c r="I13" s="148"/>
      <c r="J13" s="148"/>
      <c r="K13" s="148"/>
      <c r="L13" s="148"/>
      <c r="M13" s="160"/>
      <c r="N13" s="148"/>
      <c r="O13" s="148"/>
      <c r="P13" s="148"/>
      <c r="Q13" s="148"/>
      <c r="R13" s="160"/>
      <c r="S13" s="148"/>
      <c r="T13" s="148"/>
      <c r="U13" s="160"/>
      <c r="V13" s="167"/>
      <c r="W13" s="132"/>
      <c r="X13" s="161"/>
      <c r="Y13" s="162"/>
      <c r="Z13" s="162"/>
      <c r="AA13" s="163"/>
      <c r="AB13" s="163"/>
      <c r="AC13" s="163"/>
      <c r="AD13" s="15"/>
    </row>
    <row r="14">
      <c r="A14" s="329"/>
      <c r="B14" s="159"/>
      <c r="C14" s="54" t="s">
        <v>44</v>
      </c>
      <c r="D14" s="165"/>
      <c r="E14" s="165"/>
      <c r="F14" s="165"/>
      <c r="G14" s="165"/>
      <c r="H14" s="165"/>
      <c r="I14" s="168"/>
      <c r="J14" s="168"/>
      <c r="K14" s="168"/>
      <c r="L14" s="168"/>
      <c r="M14" s="139"/>
      <c r="N14" s="165"/>
      <c r="O14" s="165"/>
      <c r="P14" s="165"/>
      <c r="Q14" s="165"/>
      <c r="R14" s="139"/>
      <c r="S14" s="165"/>
      <c r="T14" s="165"/>
      <c r="U14" s="158"/>
      <c r="V14" s="165"/>
      <c r="W14" s="165"/>
      <c r="X14" s="139"/>
      <c r="Y14" s="140"/>
      <c r="Z14" s="140"/>
      <c r="AA14" s="137"/>
      <c r="AB14" s="137"/>
      <c r="AC14" s="137"/>
      <c r="AD14" s="15"/>
    </row>
    <row r="15">
      <c r="A15" s="327" t="s">
        <v>99</v>
      </c>
      <c r="B15" s="328" t="s">
        <v>102</v>
      </c>
      <c r="C15" s="41" t="s">
        <v>43</v>
      </c>
      <c r="D15" s="160"/>
      <c r="E15" s="160"/>
      <c r="F15" s="160"/>
      <c r="G15" s="160"/>
      <c r="H15" s="160"/>
      <c r="I15" s="148"/>
      <c r="J15" s="148"/>
      <c r="K15" s="148"/>
      <c r="L15" s="148"/>
      <c r="M15" s="330"/>
      <c r="N15" s="148"/>
      <c r="O15" s="148"/>
      <c r="P15" s="148"/>
      <c r="Q15" s="148"/>
      <c r="R15" s="160"/>
      <c r="S15" s="148"/>
      <c r="T15" s="148"/>
      <c r="U15" s="160"/>
      <c r="V15" s="160"/>
      <c r="W15" s="133"/>
      <c r="X15" s="161"/>
      <c r="Y15" s="134"/>
      <c r="Z15" s="134"/>
      <c r="AA15" s="136"/>
      <c r="AB15" s="136"/>
      <c r="AC15" s="136"/>
      <c r="AD15" s="15"/>
    </row>
    <row r="16">
      <c r="A16" s="329"/>
      <c r="B16" s="159"/>
      <c r="C16" s="54" t="s">
        <v>44</v>
      </c>
      <c r="D16" s="165"/>
      <c r="E16" s="165"/>
      <c r="F16" s="165"/>
      <c r="G16" s="171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39"/>
      <c r="S16" s="165"/>
      <c r="T16" s="165"/>
      <c r="U16" s="139"/>
      <c r="V16" s="165"/>
      <c r="W16" s="165"/>
      <c r="X16" s="139"/>
      <c r="Y16" s="140"/>
      <c r="Z16" s="140"/>
      <c r="AA16" s="137"/>
      <c r="AB16" s="137"/>
      <c r="AC16" s="137"/>
      <c r="AD16" s="15"/>
    </row>
    <row r="17">
      <c r="A17" s="327" t="s">
        <v>101</v>
      </c>
      <c r="B17" s="328" t="s">
        <v>103</v>
      </c>
      <c r="C17" s="41" t="s">
        <v>43</v>
      </c>
      <c r="D17" s="160"/>
      <c r="E17" s="160"/>
      <c r="F17" s="160"/>
      <c r="G17" s="330"/>
      <c r="H17" s="160"/>
      <c r="I17" s="148"/>
      <c r="J17" s="148"/>
      <c r="K17" s="148"/>
      <c r="L17" s="148"/>
      <c r="M17" s="160"/>
      <c r="N17" s="148"/>
      <c r="O17" s="148"/>
      <c r="P17" s="148"/>
      <c r="Q17" s="148"/>
      <c r="R17" s="160"/>
      <c r="S17" s="148"/>
      <c r="T17" s="148"/>
      <c r="U17" s="160"/>
      <c r="V17" s="160"/>
      <c r="W17" s="160"/>
      <c r="X17" s="161"/>
      <c r="Y17" s="134"/>
      <c r="Z17" s="134"/>
      <c r="AA17" s="136"/>
      <c r="AB17" s="136"/>
      <c r="AC17" s="136"/>
      <c r="AD17" s="15"/>
    </row>
    <row r="18">
      <c r="A18" s="331"/>
      <c r="B18" s="173"/>
      <c r="C18" s="54" t="s">
        <v>44</v>
      </c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5"/>
      <c r="W18" s="174"/>
      <c r="X18" s="174"/>
      <c r="Y18" s="176"/>
      <c r="Z18" s="176"/>
      <c r="AA18" s="176"/>
      <c r="AB18" s="176"/>
      <c r="AC18" s="176"/>
      <c r="AD18" s="15"/>
    </row>
    <row r="19">
      <c r="A19" s="327" t="s">
        <v>102</v>
      </c>
      <c r="B19" s="328" t="s">
        <v>104</v>
      </c>
      <c r="C19" s="41" t="s">
        <v>43</v>
      </c>
      <c r="D19" s="332"/>
      <c r="E19" s="332"/>
      <c r="F19" s="332"/>
      <c r="G19" s="332"/>
      <c r="H19" s="332"/>
      <c r="I19" s="333"/>
      <c r="J19" s="333"/>
      <c r="K19" s="333"/>
      <c r="L19" s="333"/>
      <c r="M19" s="332"/>
      <c r="N19" s="333"/>
      <c r="O19" s="333"/>
      <c r="P19" s="333"/>
      <c r="Q19" s="333"/>
      <c r="R19" s="332"/>
      <c r="S19" s="333"/>
      <c r="T19" s="333"/>
      <c r="U19" s="332"/>
      <c r="V19" s="334"/>
      <c r="W19" s="332"/>
      <c r="X19" s="332"/>
      <c r="Y19" s="335"/>
      <c r="Z19" s="335"/>
      <c r="AA19" s="335"/>
      <c r="AB19" s="335"/>
      <c r="AC19" s="335"/>
      <c r="AD19" s="15"/>
    </row>
    <row r="20">
      <c r="A20" s="331"/>
      <c r="B20" s="173"/>
      <c r="C20" s="54" t="s">
        <v>44</v>
      </c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5"/>
      <c r="W20" s="174"/>
      <c r="X20" s="174"/>
      <c r="Y20" s="176"/>
      <c r="Z20" s="176"/>
      <c r="AA20" s="176"/>
      <c r="AB20" s="176"/>
      <c r="AC20" s="176"/>
      <c r="AD20" s="15"/>
    </row>
    <row r="21">
      <c r="A21" s="327" t="s">
        <v>103</v>
      </c>
      <c r="B21" s="328" t="s">
        <v>105</v>
      </c>
      <c r="C21" s="41" t="s">
        <v>43</v>
      </c>
      <c r="D21" s="332"/>
      <c r="E21" s="332"/>
      <c r="F21" s="332"/>
      <c r="G21" s="332"/>
      <c r="H21" s="332"/>
      <c r="I21" s="333"/>
      <c r="J21" s="333"/>
      <c r="K21" s="333"/>
      <c r="L21" s="333"/>
      <c r="M21" s="332"/>
      <c r="N21" s="333"/>
      <c r="O21" s="333"/>
      <c r="P21" s="333"/>
      <c r="Q21" s="333"/>
      <c r="R21" s="332"/>
      <c r="S21" s="333"/>
      <c r="T21" s="333"/>
      <c r="U21" s="332"/>
      <c r="V21" s="334"/>
      <c r="W21" s="332"/>
      <c r="X21" s="332"/>
      <c r="Y21" s="335"/>
      <c r="Z21" s="335"/>
      <c r="AA21" s="335"/>
      <c r="AB21" s="335"/>
      <c r="AC21" s="335"/>
      <c r="AD21" s="15"/>
    </row>
    <row r="22">
      <c r="A22" s="331"/>
      <c r="B22" s="173"/>
      <c r="C22" s="54" t="s">
        <v>44</v>
      </c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5"/>
      <c r="W22" s="174"/>
      <c r="X22" s="174"/>
      <c r="Y22" s="176"/>
      <c r="Z22" s="176"/>
      <c r="AA22" s="176"/>
      <c r="AB22" s="176"/>
      <c r="AC22" s="176"/>
      <c r="AD22" s="15"/>
    </row>
    <row r="23">
      <c r="A23" s="327" t="s">
        <v>104</v>
      </c>
      <c r="B23" s="328" t="s">
        <v>106</v>
      </c>
      <c r="C23" s="41" t="s">
        <v>43</v>
      </c>
      <c r="D23" s="332"/>
      <c r="E23" s="332"/>
      <c r="F23" s="332"/>
      <c r="G23" s="332"/>
      <c r="H23" s="332"/>
      <c r="I23" s="333"/>
      <c r="J23" s="333"/>
      <c r="K23" s="333"/>
      <c r="L23" s="333"/>
      <c r="M23" s="332"/>
      <c r="N23" s="333"/>
      <c r="O23" s="333"/>
      <c r="P23" s="333"/>
      <c r="Q23" s="333"/>
      <c r="R23" s="332"/>
      <c r="S23" s="333"/>
      <c r="T23" s="333"/>
      <c r="U23" s="332"/>
      <c r="V23" s="334"/>
      <c r="W23" s="332"/>
      <c r="X23" s="332"/>
      <c r="Y23" s="335"/>
      <c r="Z23" s="335"/>
      <c r="AA23" s="335"/>
      <c r="AB23" s="335"/>
      <c r="AC23" s="335"/>
      <c r="AD23" s="15"/>
    </row>
    <row r="24">
      <c r="A24" s="331"/>
      <c r="B24" s="173"/>
      <c r="C24" s="54" t="s">
        <v>44</v>
      </c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5"/>
      <c r="W24" s="174"/>
      <c r="X24" s="174"/>
      <c r="Y24" s="176"/>
      <c r="Z24" s="176"/>
      <c r="AA24" s="176"/>
      <c r="AB24" s="176"/>
      <c r="AC24" s="176"/>
      <c r="AD24" s="15"/>
    </row>
    <row r="25">
      <c r="A25" s="327" t="s">
        <v>105</v>
      </c>
      <c r="B25" s="328" t="s">
        <v>111</v>
      </c>
      <c r="C25" s="41" t="s">
        <v>43</v>
      </c>
      <c r="D25" s="332"/>
      <c r="E25" s="332"/>
      <c r="F25" s="332"/>
      <c r="G25" s="332"/>
      <c r="H25" s="332"/>
      <c r="I25" s="333"/>
      <c r="J25" s="333"/>
      <c r="K25" s="333"/>
      <c r="L25" s="333"/>
      <c r="M25" s="332"/>
      <c r="N25" s="333"/>
      <c r="O25" s="333"/>
      <c r="P25" s="333"/>
      <c r="Q25" s="333"/>
      <c r="R25" s="332"/>
      <c r="S25" s="333"/>
      <c r="T25" s="333"/>
      <c r="U25" s="332"/>
      <c r="V25" s="334"/>
      <c r="W25" s="332"/>
      <c r="X25" s="332"/>
      <c r="Y25" s="335"/>
      <c r="Z25" s="335"/>
      <c r="AA25" s="335"/>
      <c r="AB25" s="335"/>
      <c r="AC25" s="335"/>
      <c r="AD25" s="15"/>
    </row>
    <row r="26">
      <c r="A26" s="331"/>
      <c r="B26" s="336"/>
      <c r="C26" s="54" t="s">
        <v>44</v>
      </c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5"/>
      <c r="W26" s="174"/>
      <c r="X26" s="174"/>
      <c r="Y26" s="176"/>
      <c r="Z26" s="176"/>
      <c r="AA26" s="176"/>
      <c r="AB26" s="176"/>
      <c r="AC26" s="176"/>
      <c r="AD26" s="15"/>
    </row>
    <row r="27">
      <c r="A27" s="337"/>
      <c r="B27" s="177"/>
      <c r="C27" s="177"/>
      <c r="F27" s="178"/>
      <c r="G27" s="178">
        <f t="shared" ref="G27:H27" si="1">SUM(G3,G5,G7,G9,G11,G13,G15,G17)</f>
        <v>10315399</v>
      </c>
      <c r="H27" s="178">
        <f t="shared" si="1"/>
        <v>677590.96</v>
      </c>
      <c r="I27" s="177"/>
      <c r="J27" s="177"/>
      <c r="K27" s="177"/>
      <c r="L27" s="177"/>
      <c r="M27" s="178">
        <f>SUM(M3,M5,M7,M9,M11,M13,M15,M17)</f>
        <v>2348113.35</v>
      </c>
      <c r="N27" s="177"/>
      <c r="O27" s="177"/>
      <c r="P27" s="177"/>
      <c r="Q27" s="177"/>
      <c r="R27" s="178">
        <f>SUM(R3,R5,R7,R9,R11,R13,R15,R17)</f>
        <v>422518</v>
      </c>
      <c r="S27" s="177"/>
      <c r="T27" s="177"/>
      <c r="U27" s="178">
        <f>SUM(U3,U5,U7,U9,U11,U13,U15,U17)</f>
        <v>912000</v>
      </c>
      <c r="V27" s="178">
        <f>SUM(V3,V5,V7,V9)</f>
        <v>9630192</v>
      </c>
      <c r="W27" s="178">
        <f t="shared" ref="W27:AC27" si="2">SUM(W3,W5,W7,W9,W11,W13,W15,W17)</f>
        <v>12000</v>
      </c>
      <c r="X27" s="178">
        <f t="shared" si="2"/>
        <v>1175367.54</v>
      </c>
      <c r="Y27" s="178">
        <f t="shared" si="2"/>
        <v>0</v>
      </c>
      <c r="Z27" s="178">
        <f t="shared" si="2"/>
        <v>0</v>
      </c>
      <c r="AA27" s="178">
        <f t="shared" si="2"/>
        <v>0</v>
      </c>
      <c r="AB27" s="179">
        <f t="shared" si="2"/>
        <v>0</v>
      </c>
      <c r="AC27" s="179">
        <f t="shared" si="2"/>
        <v>0</v>
      </c>
      <c r="AD27" s="180">
        <f>SUM(F27:AC27)</f>
        <v>25493180.85</v>
      </c>
    </row>
    <row r="29">
      <c r="Q29" s="250" t="s">
        <v>229</v>
      </c>
    </row>
  </sheetData>
  <mergeCells count="4">
    <mergeCell ref="I1:M1"/>
    <mergeCell ref="N1:R1"/>
    <mergeCell ref="S1:U1"/>
    <mergeCell ref="D1:G1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4" max="16" width="16.71"/>
    <col customWidth="1" min="24" max="24" width="15.86"/>
  </cols>
  <sheetData>
    <row r="1">
      <c r="A1" s="338"/>
      <c r="B1" s="339" t="s">
        <v>230</v>
      </c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340" t="s">
        <v>116</v>
      </c>
      <c r="R1" s="192"/>
      <c r="S1" s="192"/>
      <c r="T1" s="192"/>
      <c r="U1" s="192"/>
      <c r="V1" s="194"/>
      <c r="W1" s="341" t="s">
        <v>117</v>
      </c>
      <c r="Y1" s="342"/>
    </row>
    <row r="2" ht="150.75" customHeight="1">
      <c r="A2" s="343"/>
      <c r="B2" s="344" t="s">
        <v>231</v>
      </c>
      <c r="C2" s="344" t="s">
        <v>118</v>
      </c>
      <c r="D2" s="345" t="s">
        <v>232</v>
      </c>
      <c r="E2" s="199"/>
      <c r="F2" s="200"/>
      <c r="G2" s="346" t="s">
        <v>120</v>
      </c>
      <c r="H2" s="347" t="s">
        <v>233</v>
      </c>
      <c r="I2" s="346" t="s">
        <v>121</v>
      </c>
      <c r="J2" s="346" t="s">
        <v>122</v>
      </c>
      <c r="K2" s="346" t="s">
        <v>123</v>
      </c>
      <c r="L2" s="346" t="s">
        <v>124</v>
      </c>
      <c r="M2" s="347" t="s">
        <v>125</v>
      </c>
      <c r="N2" s="348" t="s">
        <v>234</v>
      </c>
      <c r="O2" s="348" t="s">
        <v>235</v>
      </c>
      <c r="P2" s="348" t="s">
        <v>236</v>
      </c>
      <c r="Q2" s="346" t="s">
        <v>126</v>
      </c>
      <c r="R2" s="349" t="s">
        <v>127</v>
      </c>
      <c r="S2" s="349" t="s">
        <v>127</v>
      </c>
      <c r="T2" s="349" t="s">
        <v>128</v>
      </c>
      <c r="U2" s="349" t="s">
        <v>129</v>
      </c>
      <c r="V2" s="349" t="s">
        <v>130</v>
      </c>
      <c r="W2" s="350" t="s">
        <v>131</v>
      </c>
      <c r="X2" s="351" t="s">
        <v>132</v>
      </c>
      <c r="Y2" s="352" t="s">
        <v>10</v>
      </c>
      <c r="Z2" s="353"/>
      <c r="AA2" s="353"/>
      <c r="AB2" s="353"/>
      <c r="AC2" s="353"/>
      <c r="AD2" s="353"/>
    </row>
    <row r="3">
      <c r="A3" s="354" t="s">
        <v>133</v>
      </c>
      <c r="B3" s="354" t="s">
        <v>134</v>
      </c>
      <c r="C3" s="355" t="s">
        <v>135</v>
      </c>
      <c r="D3" s="355" t="s">
        <v>136</v>
      </c>
      <c r="E3" s="354" t="s">
        <v>137</v>
      </c>
      <c r="F3" s="356" t="s">
        <v>138</v>
      </c>
      <c r="G3" s="354" t="s">
        <v>143</v>
      </c>
      <c r="H3" s="354"/>
      <c r="I3" s="354" t="s">
        <v>143</v>
      </c>
      <c r="J3" s="354" t="s">
        <v>143</v>
      </c>
      <c r="K3" s="354"/>
      <c r="L3" s="354" t="s">
        <v>144</v>
      </c>
      <c r="M3" s="356" t="s">
        <v>145</v>
      </c>
      <c r="N3" s="356" t="s">
        <v>237</v>
      </c>
      <c r="O3" s="356" t="s">
        <v>238</v>
      </c>
      <c r="P3" s="356" t="s">
        <v>239</v>
      </c>
      <c r="Q3" s="354" t="s">
        <v>146</v>
      </c>
      <c r="R3" s="356" t="s">
        <v>240</v>
      </c>
      <c r="S3" s="356" t="s">
        <v>241</v>
      </c>
      <c r="T3" s="356" t="s">
        <v>242</v>
      </c>
      <c r="U3" s="354" t="s">
        <v>150</v>
      </c>
      <c r="V3" s="356" t="s">
        <v>243</v>
      </c>
      <c r="W3" s="354"/>
      <c r="X3" s="357"/>
      <c r="Y3" s="358"/>
      <c r="Z3" s="359"/>
      <c r="AA3" s="359"/>
      <c r="AB3" s="359"/>
      <c r="AC3" s="359"/>
      <c r="AD3" s="359"/>
    </row>
    <row r="4">
      <c r="A4" s="360" t="s">
        <v>222</v>
      </c>
      <c r="B4" s="361"/>
      <c r="C4" s="362"/>
      <c r="D4" s="363">
        <v>9290719.49</v>
      </c>
      <c r="E4" s="364"/>
      <c r="F4" s="364"/>
      <c r="G4" s="365"/>
      <c r="H4" s="366"/>
      <c r="I4" s="365">
        <v>159764.22</v>
      </c>
      <c r="J4" s="367">
        <v>1527.12</v>
      </c>
      <c r="K4" s="368"/>
      <c r="L4" s="367">
        <v>144462.5</v>
      </c>
      <c r="M4" s="367"/>
      <c r="N4" s="367">
        <v>98550.0</v>
      </c>
      <c r="O4" s="367">
        <v>9851.03</v>
      </c>
      <c r="P4" s="368"/>
      <c r="Q4" s="368"/>
      <c r="R4" s="369">
        <v>259355.59</v>
      </c>
      <c r="S4" s="370"/>
      <c r="T4" s="371">
        <v>859188.0</v>
      </c>
      <c r="U4" s="372"/>
      <c r="V4" s="373"/>
      <c r="W4" s="370"/>
      <c r="X4" s="370">
        <v>1234432.51</v>
      </c>
      <c r="Y4" s="374"/>
    </row>
    <row r="5">
      <c r="A5" s="360" t="s">
        <v>225</v>
      </c>
      <c r="B5" s="375">
        <v>978030.0</v>
      </c>
      <c r="C5" s="376"/>
      <c r="D5" s="375">
        <v>9687423.3</v>
      </c>
      <c r="E5" s="366"/>
      <c r="F5" s="366"/>
      <c r="G5" s="365">
        <v>399710.09</v>
      </c>
      <c r="H5" s="366"/>
      <c r="I5" s="365">
        <v>160290.0</v>
      </c>
      <c r="J5" s="367">
        <v>7465.92</v>
      </c>
      <c r="K5" s="368"/>
      <c r="L5" s="367">
        <v>144462.5</v>
      </c>
      <c r="M5" s="368"/>
      <c r="N5" s="368"/>
      <c r="O5" s="368"/>
      <c r="P5" s="367">
        <v>3464072.38</v>
      </c>
      <c r="Q5" s="377"/>
      <c r="R5" s="378">
        <v>259355.59</v>
      </c>
      <c r="S5" s="370"/>
      <c r="T5" s="370">
        <v>859188.0</v>
      </c>
      <c r="U5" s="372"/>
      <c r="V5" s="370">
        <v>93170.94</v>
      </c>
      <c r="W5" s="370"/>
      <c r="X5" s="370">
        <v>1233645.38</v>
      </c>
      <c r="Y5" s="374"/>
    </row>
    <row r="6">
      <c r="A6" s="360" t="s">
        <v>227</v>
      </c>
      <c r="B6" s="361"/>
      <c r="C6" s="376"/>
      <c r="D6" s="375">
        <v>9687423.3</v>
      </c>
      <c r="E6" s="366"/>
      <c r="F6" s="366"/>
      <c r="G6" s="366"/>
      <c r="H6" s="366"/>
      <c r="I6" s="366"/>
      <c r="J6" s="368"/>
      <c r="K6" s="368"/>
      <c r="L6" s="367">
        <v>144462.5</v>
      </c>
      <c r="M6" s="368"/>
      <c r="N6" s="368"/>
      <c r="O6" s="368"/>
      <c r="P6" s="368"/>
      <c r="Q6" s="377"/>
      <c r="R6" s="378">
        <v>259355.59</v>
      </c>
      <c r="S6" s="372"/>
      <c r="T6" s="370">
        <v>859188.0</v>
      </c>
      <c r="U6" s="372"/>
      <c r="V6" s="370">
        <v>93170.94</v>
      </c>
      <c r="W6" s="378"/>
      <c r="X6" s="370">
        <v>1228925.69</v>
      </c>
      <c r="Y6" s="374"/>
    </row>
    <row r="7">
      <c r="A7" s="360" t="s">
        <v>228</v>
      </c>
      <c r="B7" s="361"/>
      <c r="C7" s="379"/>
      <c r="D7" s="380">
        <v>9687423.3</v>
      </c>
      <c r="E7" s="381"/>
      <c r="F7" s="381"/>
      <c r="G7" s="381"/>
      <c r="H7" s="382"/>
      <c r="I7" s="366"/>
      <c r="J7" s="368"/>
      <c r="K7" s="368"/>
      <c r="L7" s="367">
        <v>144462.5</v>
      </c>
      <c r="M7" s="368"/>
      <c r="N7" s="368"/>
      <c r="O7" s="368"/>
      <c r="P7" s="368"/>
      <c r="Q7" s="368"/>
      <c r="R7" s="370">
        <v>259355.59</v>
      </c>
      <c r="S7" s="370">
        <v>233261.77</v>
      </c>
      <c r="T7" s="370">
        <v>859959.4</v>
      </c>
      <c r="U7" s="372"/>
      <c r="V7" s="372"/>
      <c r="W7" s="372"/>
      <c r="X7" s="372"/>
      <c r="Y7" s="374"/>
    </row>
    <row r="8">
      <c r="A8" s="360" t="s">
        <v>99</v>
      </c>
      <c r="B8" s="381"/>
      <c r="C8" s="383"/>
      <c r="D8" s="383"/>
      <c r="E8" s="368"/>
      <c r="F8" s="384"/>
      <c r="G8" s="381"/>
      <c r="H8" s="382"/>
      <c r="I8" s="366"/>
      <c r="J8" s="368"/>
      <c r="K8" s="368"/>
      <c r="L8" s="368"/>
      <c r="M8" s="368"/>
      <c r="N8" s="368"/>
      <c r="O8" s="368"/>
      <c r="P8" s="368"/>
      <c r="Q8" s="368"/>
      <c r="R8" s="372"/>
      <c r="S8" s="370"/>
      <c r="T8" s="372"/>
      <c r="U8" s="372"/>
      <c r="V8" s="372"/>
      <c r="W8" s="370"/>
      <c r="X8" s="385"/>
      <c r="Y8" s="374"/>
    </row>
    <row r="9">
      <c r="A9" s="360" t="s">
        <v>101</v>
      </c>
      <c r="B9" s="381"/>
      <c r="C9" s="383"/>
      <c r="D9" s="383"/>
      <c r="E9" s="386"/>
      <c r="F9" s="387"/>
      <c r="G9" s="381"/>
      <c r="H9" s="388"/>
      <c r="I9" s="388"/>
      <c r="J9" s="377"/>
      <c r="K9" s="368"/>
      <c r="L9" s="368"/>
      <c r="M9" s="368"/>
      <c r="N9" s="368"/>
      <c r="O9" s="368"/>
      <c r="P9" s="368"/>
      <c r="Q9" s="368"/>
      <c r="R9" s="372"/>
      <c r="S9" s="370"/>
      <c r="T9" s="372"/>
      <c r="U9" s="372"/>
      <c r="V9" s="372"/>
      <c r="W9" s="370"/>
      <c r="X9" s="372"/>
      <c r="Y9" s="374"/>
    </row>
    <row r="10">
      <c r="A10" s="360" t="s">
        <v>102</v>
      </c>
      <c r="B10" s="381"/>
      <c r="C10" s="383"/>
      <c r="D10" s="383"/>
      <c r="E10" s="368"/>
      <c r="F10" s="387"/>
      <c r="G10" s="381"/>
      <c r="H10" s="377"/>
      <c r="I10" s="377"/>
      <c r="J10" s="377"/>
      <c r="K10" s="368"/>
      <c r="L10" s="368"/>
      <c r="M10" s="368"/>
      <c r="N10" s="368"/>
      <c r="O10" s="368"/>
      <c r="P10" s="368"/>
      <c r="Q10" s="368"/>
      <c r="R10" s="372"/>
      <c r="S10" s="370"/>
      <c r="T10" s="372"/>
      <c r="U10" s="372"/>
      <c r="V10" s="372"/>
      <c r="W10" s="370"/>
      <c r="X10" s="372"/>
      <c r="Y10" s="374"/>
    </row>
    <row r="11">
      <c r="A11" s="360" t="s">
        <v>103</v>
      </c>
      <c r="B11" s="389"/>
      <c r="C11" s="390"/>
      <c r="D11" s="383"/>
      <c r="E11" s="391"/>
      <c r="F11" s="387"/>
      <c r="G11" s="392"/>
      <c r="H11" s="393"/>
      <c r="I11" s="365"/>
      <c r="J11" s="368"/>
      <c r="K11" s="368"/>
      <c r="L11" s="368"/>
      <c r="M11" s="368"/>
      <c r="N11" s="368"/>
      <c r="O11" s="368"/>
      <c r="P11" s="368"/>
      <c r="Q11" s="368"/>
      <c r="R11" s="372"/>
      <c r="S11" s="370"/>
      <c r="T11" s="372"/>
      <c r="U11" s="372"/>
      <c r="V11" s="372"/>
      <c r="W11" s="385"/>
      <c r="X11" s="372"/>
      <c r="Y11" s="374"/>
    </row>
    <row r="12">
      <c r="A12" s="360" t="s">
        <v>104</v>
      </c>
      <c r="B12" s="361"/>
      <c r="C12" s="379"/>
      <c r="D12" s="380"/>
      <c r="E12" s="391"/>
      <c r="F12" s="387"/>
      <c r="G12" s="391"/>
      <c r="H12" s="365"/>
      <c r="I12" s="365"/>
      <c r="J12" s="368"/>
      <c r="K12" s="368"/>
      <c r="L12" s="367"/>
      <c r="M12" s="367"/>
      <c r="N12" s="367"/>
      <c r="O12" s="367"/>
      <c r="P12" s="367"/>
      <c r="Q12" s="367"/>
      <c r="R12" s="372"/>
      <c r="S12" s="370"/>
      <c r="T12" s="372"/>
      <c r="U12" s="372"/>
      <c r="V12" s="372"/>
      <c r="W12" s="370"/>
      <c r="X12" s="372"/>
      <c r="Y12" s="374"/>
    </row>
    <row r="13">
      <c r="A13" s="360" t="s">
        <v>105</v>
      </c>
      <c r="B13" s="361"/>
      <c r="C13" s="379"/>
      <c r="D13" s="380"/>
      <c r="E13" s="366"/>
      <c r="F13" s="387"/>
      <c r="G13" s="366"/>
      <c r="H13" s="365"/>
      <c r="I13" s="365"/>
      <c r="J13" s="367"/>
      <c r="K13" s="368"/>
      <c r="L13" s="367"/>
      <c r="M13" s="367"/>
      <c r="N13" s="367"/>
      <c r="O13" s="367"/>
      <c r="P13" s="367"/>
      <c r="Q13" s="367"/>
      <c r="R13" s="372"/>
      <c r="S13" s="370"/>
      <c r="T13" s="372"/>
      <c r="U13" s="372"/>
      <c r="V13" s="372"/>
      <c r="W13" s="370"/>
      <c r="X13" s="370"/>
      <c r="Y13" s="374"/>
    </row>
    <row r="14">
      <c r="A14" s="360" t="s">
        <v>106</v>
      </c>
      <c r="B14" s="361"/>
      <c r="C14" s="379"/>
      <c r="D14" s="380"/>
      <c r="E14" s="366"/>
      <c r="F14" s="366"/>
      <c r="G14" s="366"/>
      <c r="H14" s="366"/>
      <c r="I14" s="366"/>
      <c r="J14" s="372"/>
      <c r="K14" s="372"/>
      <c r="L14" s="370"/>
      <c r="M14" s="370"/>
      <c r="N14" s="370"/>
      <c r="O14" s="370"/>
      <c r="P14" s="370"/>
      <c r="Q14" s="370"/>
      <c r="R14" s="370"/>
      <c r="S14" s="372"/>
      <c r="T14" s="370"/>
      <c r="U14" s="370"/>
      <c r="V14" s="370"/>
      <c r="W14" s="370"/>
      <c r="X14" s="394"/>
      <c r="Y14" s="374"/>
    </row>
    <row r="15">
      <c r="A15" s="360" t="s">
        <v>111</v>
      </c>
      <c r="B15" s="395"/>
      <c r="C15" s="379"/>
      <c r="D15" s="380"/>
      <c r="E15" s="366"/>
      <c r="F15" s="366"/>
      <c r="G15" s="366"/>
      <c r="H15" s="366"/>
      <c r="I15" s="366"/>
      <c r="J15" s="372"/>
      <c r="K15" s="372"/>
      <c r="L15" s="370"/>
      <c r="M15" s="370"/>
      <c r="N15" s="370"/>
      <c r="O15" s="370"/>
      <c r="P15" s="370"/>
      <c r="Q15" s="370"/>
      <c r="R15" s="370"/>
      <c r="S15" s="370"/>
      <c r="T15" s="370"/>
      <c r="U15" s="370"/>
      <c r="V15" s="370"/>
      <c r="W15" s="372"/>
      <c r="X15" s="396"/>
      <c r="Y15" s="397"/>
    </row>
    <row r="16">
      <c r="A16" s="398" t="s">
        <v>10</v>
      </c>
      <c r="B16" s="399">
        <f t="shared" ref="B16:C16" si="1">SUM(B4,B5,B6,B7,B8,B9,B10,B11,B12,B13,B14,B15)</f>
        <v>978030</v>
      </c>
      <c r="C16" s="399">
        <f t="shared" si="1"/>
        <v>0</v>
      </c>
      <c r="D16" s="400">
        <f>SUM(D4:D15)</f>
        <v>38352989.39</v>
      </c>
      <c r="E16" s="400">
        <f t="shared" ref="E16:G16" si="2">SUM(E4,E5,E6,E7,E8,E9,E10,E11,E12,E13,E14,E15)</f>
        <v>0</v>
      </c>
      <c r="F16" s="400">
        <f t="shared" si="2"/>
        <v>0</v>
      </c>
      <c r="G16" s="401">
        <f t="shared" si="2"/>
        <v>399710.09</v>
      </c>
      <c r="H16" s="401"/>
      <c r="I16" s="401">
        <f t="shared" ref="I16:J16" si="3">SUM(I4,I5,I6,I7,I8,I9,I10,I11,I12,I13,I14,I15)</f>
        <v>320054.22</v>
      </c>
      <c r="J16" s="402">
        <f t="shared" si="3"/>
        <v>8993.04</v>
      </c>
      <c r="K16" s="402">
        <f>SUM(K7)</f>
        <v>0</v>
      </c>
      <c r="L16" s="402">
        <f t="shared" ref="L16:O16" si="4">SUM(L4,L5,L6,L7,L8,L9,L10,L11,L12,L13,L14,L15)</f>
        <v>577850</v>
      </c>
      <c r="M16" s="402">
        <f t="shared" si="4"/>
        <v>0</v>
      </c>
      <c r="N16" s="402">
        <f t="shared" si="4"/>
        <v>98550</v>
      </c>
      <c r="O16" s="402">
        <f t="shared" si="4"/>
        <v>9851.03</v>
      </c>
      <c r="P16" s="402">
        <f>SUM(P4:P15)</f>
        <v>3464072.38</v>
      </c>
      <c r="Q16" s="402">
        <f t="shared" ref="Q16:X16" si="5">SUM(Q4,Q5,Q6,Q7,Q8,Q9,Q10,Q11,Q12,Q13,Q14,Q15)</f>
        <v>0</v>
      </c>
      <c r="R16" s="402">
        <f t="shared" si="5"/>
        <v>1037422.36</v>
      </c>
      <c r="S16" s="402">
        <f t="shared" si="5"/>
        <v>233261.77</v>
      </c>
      <c r="T16" s="402">
        <f t="shared" si="5"/>
        <v>3437523.4</v>
      </c>
      <c r="U16" s="402">
        <f t="shared" si="5"/>
        <v>0</v>
      </c>
      <c r="V16" s="399">
        <f t="shared" si="5"/>
        <v>186341.88</v>
      </c>
      <c r="W16" s="399">
        <f t="shared" si="5"/>
        <v>0</v>
      </c>
      <c r="X16" s="403">
        <f t="shared" si="5"/>
        <v>3697003.58</v>
      </c>
      <c r="Y16" s="404">
        <f>SUM(B16:X16)</f>
        <v>52801653.14</v>
      </c>
    </row>
    <row r="18">
      <c r="C18" s="250" t="s">
        <v>229</v>
      </c>
    </row>
    <row r="19">
      <c r="T19" s="405"/>
    </row>
    <row r="20">
      <c r="T20" s="258"/>
    </row>
    <row r="21">
      <c r="R21" s="406"/>
    </row>
    <row r="25">
      <c r="F25" s="407"/>
    </row>
    <row r="26">
      <c r="F26" s="408"/>
    </row>
  </sheetData>
  <mergeCells count="4">
    <mergeCell ref="B1:P1"/>
    <mergeCell ref="Q1:V1"/>
    <mergeCell ref="W1:X1"/>
    <mergeCell ref="D2:F2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8">
      <c r="G8" s="36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2021-05-06T12:36:00Z</dcterms:created>
  <dc:creator>sus36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A1010FDB4C044C5291B5943C94FE82B3</vt:lpwstr>
  </property>
  <property fmtid="{D5CDD505-2E9C-101B-9397-08002B2CF9AE}" pid="3" name="KSOProductBuildVer">
    <vt:lpwstr>1046-12.2.0.18199</vt:lpwstr>
  </property>
</Properties>
</file>